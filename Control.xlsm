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7F58A650-F7A3-42A3-9F08-426FC27FA32B}" xr6:coauthVersionLast="47" xr6:coauthVersionMax="47" xr10:uidLastSave="{00000000-0000-0000-0000-000000000000}"/>
  <bookViews>
    <workbookView xWindow="-120" yWindow="-120" windowWidth="20730" windowHeight="11160" xr2:uid="{DD005084-A307-4D97-9190-19BD1DB91A43}"/>
  </bookViews>
  <sheets>
    <sheet name="Principal" sheetId="1" r:id="rId1"/>
    <sheet name="Ventas" sheetId="2" r:id="rId2"/>
    <sheet name="Mercancia " sheetId="4" r:id="rId3"/>
    <sheet name="Factura" sheetId="5" r:id="rId4"/>
    <sheet name="Clientes" sheetId="3" r:id="rId5"/>
  </sheets>
  <definedNames>
    <definedName name="_xlnm._FilterDatabase" localSheetId="2" hidden="1">'Mercancia '!$A$3:$D$4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" i="1" l="1"/>
  <c r="K19" i="1"/>
  <c r="J19" i="1"/>
  <c r="I19" i="1"/>
  <c r="H19" i="1"/>
  <c r="L16" i="1"/>
  <c r="K16" i="1"/>
  <c r="J16" i="1"/>
  <c r="I16" i="1"/>
  <c r="H16" i="1"/>
  <c r="J11" i="1" a="1"/>
  <c r="J11" i="1"/>
  <c r="A17" i="1"/>
  <c r="A19" i="1"/>
  <c r="A5" i="2"/>
  <c r="A11" i="1"/>
  <c r="E11" i="1"/>
  <c r="G11" i="1"/>
  <c r="H9" i="1"/>
  <c r="G15" i="1"/>
  <c r="G17" i="1" s="1"/>
  <c r="E15" i="1"/>
  <c r="G9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<sst xmlns="http://schemas.openxmlformats.org/spreadsheetml/2006/main" count="404" uniqueCount="110">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</sst>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39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checked="Checked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9525</xdr:colOff>
      <xdr:row>22</xdr:row>
      <xdr:rowOff>0</xdr:rowOff>
    </xdr:from>
    <xdr:to>
      <xdr:col>6</xdr:col>
      <xdr:colOff>0</xdr:colOff>
      <xdr:row>24</xdr:row>
      <xdr:rowOff>0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19700" y="4105275"/>
          <a:ext cx="13906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57</xdr:row>
      <xdr:rowOff>152400</xdr:rowOff>
    </xdr:from>
    <xdr:to>
      <xdr:col>6</xdr:col>
      <xdr:colOff>1047750</xdr:colOff>
      <xdr:row>59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2" totalsRowShown="0" headerRowDxfId="6" dataDxfId="5">
  <autoFilter ref="B20:F22" xr:uid="{3167A53F-D790-4A1F-A26A-3592463B36D4}"/>
  <tableColumns count="5">
    <tableColumn id="1" xr3:uid="{56E07A45-9666-4579-8537-B7140253445B}" name="CC/NIT" dataDxfId="4"/>
    <tableColumn id="2" xr3:uid="{4F116497-83A5-4F30-8BA7-80CBCE51158F}" name="REFERENCIA" dataDxfId="3"/>
    <tableColumn id="3" xr3:uid="{0487F26D-5DFC-4F43-B658-DD2FC7064FFE}" name="DESCRIPCION" dataDxfId="2"/>
    <tableColumn id="4" xr3:uid="{60645FC2-60CC-44F1-9E8F-61B1735C7140}" name="TALLA" dataDxfId="1"/>
    <tableColumn id="5" xr3:uid="{355B1800-1488-4707-94F8-0DC65DE2CCE3}" name="VALOR" dataDxfId="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5" totalsRowShown="0" dataDxfId="30">
  <autoFilter ref="A4:F5" xr:uid="{F281B140-C285-46B0-B956-41326AD9F6B6}"/>
  <tableColumns count="6">
    <tableColumn id="1" xr3:uid="{B8D32094-D8D2-4AF1-BA81-A7DB9FB68831}" name="FECHA" dataDxfId="29">
      <calculatedColumnFormula>TODAY()</calculatedColumnFormula>
    </tableColumn>
    <tableColumn id="2" xr3:uid="{B5D660A0-7732-43BE-BD1C-2D1126F93BC4}" name="CC/NIT" dataDxfId="28"/>
    <tableColumn id="3" xr3:uid="{915F3635-95C4-4DC7-B234-E88FD3D738CB}" name="REFERENCIA" dataDxfId="27"/>
    <tableColumn id="4" xr3:uid="{3B020859-DE4F-4186-8B7F-7A5F579F4F7F}" name="DESCRIPCION" dataDxfId="26"/>
    <tableColumn id="5" xr3:uid="{1D56ECB3-1AFF-443D-A6AC-E4F6C52BC3C2}" name="TALLA" dataDxfId="25"/>
    <tableColumn id="6" xr3:uid="{30C70F64-C059-4790-BDC7-3AB704CF4B30}" name="PRECIO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5" totalsRowShown="0" headerRowDxfId="23" tableBorderDxfId="22" totalsRowBorderDxfId="21">
  <autoFilter ref="A5:N55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0"/>
    <tableColumn id="2" xr3:uid="{877C319A-5468-403B-A5BB-F002F089E802}" name="Columna2" dataDxfId="19"/>
    <tableColumn id="3" xr3:uid="{3B705014-0CD1-46F0-88E4-BC9D1F638CE5}" name="Columna3" dataDxfId="18"/>
    <tableColumn id="4" xr3:uid="{FDEC3CB2-2CC7-47AF-A5C3-D71D9671562A}" name="Columna4" dataDxfId="17"/>
    <tableColumn id="5" xr3:uid="{BEE6718A-9A4C-4B39-AD32-4C025E6E5276}" name="Columna5" dataDxfId="16"/>
    <tableColumn id="6" xr3:uid="{ACDE65F7-F5BE-46B7-9AAC-00A3C71B1D13}" name="Columna6" dataDxfId="15"/>
    <tableColumn id="7" xr3:uid="{CBCE114C-3BDF-4E85-9BC5-227BA6D03791}" name="Columna7" dataDxfId="14"/>
    <tableColumn id="9" xr3:uid="{21A98C46-9570-4E1A-B608-2D322DB5D3D5}" name="Columna9" dataDxfId="13"/>
    <tableColumn id="8" xr3:uid="{A765EAED-893F-4F9B-9C14-A5EE0F926620}" name="Columna8" dataDxfId="12"/>
    <tableColumn id="10" xr3:uid="{6BFDAE41-7DBA-4862-848D-2A39FBFDC4B3}" name="Columna92" dataDxfId="11"/>
    <tableColumn id="11" xr3:uid="{783F535B-9A74-4BA0-88A7-AF92F7BD0A50}" name="Columna10" dataDxfId="10"/>
    <tableColumn id="12" xr3:uid="{6353CE9D-5D60-422B-93BF-24115971D0A8}" name="Columna11" dataDxfId="9"/>
    <tableColumn id="13" xr3:uid="{89F6F846-171A-49BF-8068-FEE06A63C547}" name="Columna12" dataDxfId="8"/>
    <tableColumn id="14" xr3:uid="{E3A4DE12-CFC9-4759-A624-F0C02B9B2B1F}" name="Columna13" dataDxfId="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38" dataDxfId="37" tableBorderDxfId="36">
  <autoFilter ref="A4:E7" xr:uid="{2031DEE6-4F1C-4BFE-8D3B-20AB408C4501}"/>
  <tableColumns count="5">
    <tableColumn id="1" xr3:uid="{77458FC3-DFD5-455C-A754-7AA60D17C61D}" name="CC/NIT" dataDxfId="35"/>
    <tableColumn id="2" xr3:uid="{98C798B5-9BC9-4679-8B1C-6D3EF13D137C}" name="NOMBRE COMPLETO" dataDxfId="34"/>
    <tableColumn id="3" xr3:uid="{B0D636E2-60DB-42C6-8A16-36CAAC8352A8}" name="CELULAR" dataDxfId="33"/>
    <tableColumn id="4" xr3:uid="{B232CA0C-2B06-4B55-9FF2-34755CB8C7B3}" name="CORREO ELECTRONICO" dataDxfId="32" dataCellStyle="Hipervínculo"/>
    <tableColumn id="5" xr3:uid="{D19A0E81-37E2-406A-83C1-5863FC399F9B}" name="FECHA DE NACIMIENTO" dataDxfId="3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05"/>
  <sheetViews>
    <sheetView tabSelected="1" topLeftCell="A11" zoomScaleNormal="100" workbookViewId="0">
      <selection activeCell="D21" sqref="D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16.5703125" style="10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8" width="11.85546875" style="10" bestFit="1" customWidth="1"/>
    <col min="9" max="9" width="12" style="10" customWidth="1"/>
    <col min="10" max="12" width="11.85546875" style="10" bestFit="1" customWidth="1"/>
    <col min="13" max="16384" width="11.42578125" style="10"/>
  </cols>
  <sheetData>
    <row r="1" spans="1:12" x14ac:dyDescent="0.25">
      <c r="A1" s="75"/>
      <c r="B1" s="76"/>
      <c r="C1" s="87" t="s">
        <v>0</v>
      </c>
      <c r="D1" s="88"/>
      <c r="E1" s="88"/>
      <c r="F1" s="88"/>
      <c r="G1" s="89"/>
    </row>
    <row r="2" spans="1:12" x14ac:dyDescent="0.25">
      <c r="A2" s="75"/>
      <c r="B2" s="76"/>
      <c r="C2" s="90"/>
      <c r="D2" s="91"/>
      <c r="E2" s="91"/>
      <c r="F2" s="91"/>
      <c r="G2" s="92"/>
    </row>
    <row r="3" spans="1:12" ht="18.75" customHeight="1" x14ac:dyDescent="0.25">
      <c r="A3" s="75"/>
      <c r="B3" s="76"/>
      <c r="C3" s="11" t="s">
        <v>1</v>
      </c>
      <c r="D3" s="40" t="s">
        <v>6</v>
      </c>
      <c r="E3" s="12" t="s">
        <v>2</v>
      </c>
      <c r="F3" s="32" t="s">
        <v>3</v>
      </c>
      <c r="G3" s="31" t="s">
        <v>4</v>
      </c>
      <c r="H3" s="13"/>
    </row>
    <row r="4" spans="1:12" ht="18.75" customHeight="1" x14ac:dyDescent="0.25">
      <c r="C4" s="14"/>
      <c r="D4" s="41"/>
      <c r="E4" s="14"/>
      <c r="F4" s="35"/>
      <c r="G4" s="7"/>
      <c r="H4" s="13"/>
    </row>
    <row r="5" spans="1:12" ht="15" customHeight="1" x14ac:dyDescent="0.25">
      <c r="F5" s="10"/>
      <c r="G5" s="10"/>
    </row>
    <row r="6" spans="1:12" ht="15" customHeight="1" x14ac:dyDescent="0.25">
      <c r="A6" s="39"/>
      <c r="B6" s="85" t="s">
        <v>12</v>
      </c>
      <c r="C6" s="85"/>
      <c r="D6" s="85"/>
      <c r="E6" s="85"/>
      <c r="F6" s="85"/>
      <c r="G6" s="85"/>
      <c r="H6" s="85"/>
      <c r="I6" s="85"/>
    </row>
    <row r="7" spans="1:12" ht="15" customHeight="1" x14ac:dyDescent="0.25">
      <c r="A7" s="43"/>
      <c r="B7" s="85"/>
      <c r="C7" s="85"/>
      <c r="D7" s="85"/>
      <c r="E7" s="85"/>
      <c r="F7" s="85"/>
      <c r="G7" s="85"/>
      <c r="H7" s="85"/>
      <c r="I7" s="85"/>
    </row>
    <row r="8" spans="1:12" ht="15" customHeight="1" x14ac:dyDescent="0.25">
      <c r="A8" s="43"/>
      <c r="B8" s="67" t="s">
        <v>1</v>
      </c>
      <c r="C8" s="68"/>
      <c r="D8" s="69"/>
      <c r="E8" s="77" t="s">
        <v>6</v>
      </c>
      <c r="F8" s="77"/>
      <c r="G8" s="33" t="s">
        <v>2</v>
      </c>
      <c r="H8" s="77" t="s">
        <v>31</v>
      </c>
      <c r="I8" s="77"/>
    </row>
    <row r="9" spans="1:12" ht="15" customHeight="1" x14ac:dyDescent="0.25">
      <c r="A9" s="43"/>
      <c r="B9" s="70"/>
      <c r="C9" s="71"/>
      <c r="D9" s="72"/>
      <c r="E9" s="73" t="str">
        <f>VLOOKUP(B10,Tabla_clientes[],2,FALSE)</f>
        <v>Isabela Quintero Diaz</v>
      </c>
      <c r="F9" s="73"/>
      <c r="G9" s="36">
        <f>VLOOKUP(B10,Tabla_clientes[],3,FALSE)</f>
        <v>3013434674</v>
      </c>
      <c r="H9" s="78">
        <f ca="1">TODAY()</f>
        <v>44795</v>
      </c>
      <c r="I9" s="73"/>
    </row>
    <row r="10" spans="1:12" ht="15" customHeight="1" x14ac:dyDescent="0.25">
      <c r="A10" s="43"/>
      <c r="B10" s="79">
        <v>1001456224</v>
      </c>
      <c r="C10" s="80"/>
      <c r="D10" s="81"/>
      <c r="E10" s="77" t="s">
        <v>3</v>
      </c>
      <c r="F10" s="77"/>
      <c r="G10" s="33" t="s">
        <v>4</v>
      </c>
      <c r="H10" s="14"/>
      <c r="I10" s="14"/>
    </row>
    <row r="11" spans="1:12" ht="15" customHeight="1" x14ac:dyDescent="0.25">
      <c r="A11" s="38">
        <f>B10</f>
        <v>1001456224</v>
      </c>
      <c r="B11" s="82"/>
      <c r="C11" s="83"/>
      <c r="D11" s="84"/>
      <c r="E11" s="86" t="str">
        <f>VLOOKUP(B10,Tabla_clientes[],4,FALSE)</f>
        <v>iqdsaz92@gmail.com</v>
      </c>
      <c r="F11" s="86"/>
      <c r="G11" s="37">
        <f>VLOOKUP(B10,Tabla_clientes[],5,FALSE)</f>
        <v>37432</v>
      </c>
      <c r="H11" s="14"/>
      <c r="I11" s="14"/>
      <c r="J11" s="38" t="str" cm="1">
        <f t="array" ref="J11">_xlfn.IFS(H15=TRUE,"6",I15=TRUE,"8",J15=TRUE,"10",K15=TRUE,"12",L15=TRUE,"14",H18=TRUE,"U",I18=TRUE,"S",J18=TRUE,"M",K18=TRUE,"L",L18=TRUE,"XL")</f>
        <v>10</v>
      </c>
    </row>
    <row r="12" spans="1:12" ht="15" customHeight="1" x14ac:dyDescent="0.25">
      <c r="A12" s="38"/>
      <c r="B12" s="74" t="s">
        <v>14</v>
      </c>
      <c r="C12" s="74"/>
      <c r="D12" s="74"/>
      <c r="E12" s="74"/>
      <c r="F12" s="74"/>
      <c r="G12" s="74"/>
      <c r="H12" s="63" t="s">
        <v>28</v>
      </c>
      <c r="I12" s="64"/>
      <c r="J12" s="64"/>
      <c r="K12" s="64"/>
      <c r="L12" s="64"/>
    </row>
    <row r="13" spans="1:12" ht="13.5" customHeight="1" x14ac:dyDescent="0.25">
      <c r="A13" s="38"/>
      <c r="B13" s="74"/>
      <c r="C13" s="74"/>
      <c r="D13" s="74"/>
      <c r="E13" s="74"/>
      <c r="F13" s="74"/>
      <c r="G13" s="74"/>
      <c r="H13" s="65"/>
      <c r="I13" s="66"/>
      <c r="J13" s="66"/>
      <c r="K13" s="66"/>
      <c r="L13" s="66"/>
    </row>
    <row r="14" spans="1:12" ht="15" customHeight="1" x14ac:dyDescent="0.25">
      <c r="A14" s="38"/>
      <c r="B14" s="110" t="s">
        <v>15</v>
      </c>
      <c r="C14" s="110"/>
      <c r="D14" s="110"/>
      <c r="E14" s="111" t="s">
        <v>24</v>
      </c>
      <c r="F14" s="111"/>
      <c r="G14" s="112" t="s">
        <v>25</v>
      </c>
      <c r="H14" s="61">
        <v>6</v>
      </c>
      <c r="I14" s="61">
        <v>8</v>
      </c>
      <c r="J14" s="61">
        <v>10</v>
      </c>
      <c r="K14" s="61">
        <v>12</v>
      </c>
      <c r="L14" s="61">
        <v>14</v>
      </c>
    </row>
    <row r="15" spans="1:12" s="49" customFormat="1" ht="15" customHeight="1" x14ac:dyDescent="0.25">
      <c r="A15" s="38"/>
      <c r="B15" s="110"/>
      <c r="C15" s="110"/>
      <c r="D15" s="110"/>
      <c r="E15" s="73" t="str">
        <f>VLOOKUP(B16,Inventario[],2,FALSE)</f>
        <v>JEAN DAMA REL MODA</v>
      </c>
      <c r="F15" s="73"/>
      <c r="G15" s="30">
        <f>VLOOKUP(B16,Inventario[],4,FALSE)</f>
        <v>140000</v>
      </c>
      <c r="H15" s="29" t="b">
        <v>0</v>
      </c>
      <c r="I15" s="29" t="b">
        <v>0</v>
      </c>
      <c r="J15" s="29" t="b">
        <v>1</v>
      </c>
      <c r="K15" s="29" t="b">
        <v>0</v>
      </c>
      <c r="L15" s="29" t="b">
        <v>0</v>
      </c>
    </row>
    <row r="16" spans="1:12" s="10" customFormat="1" ht="15" customHeight="1" x14ac:dyDescent="0.25">
      <c r="A16" s="38"/>
      <c r="B16" s="113" t="s">
        <v>41</v>
      </c>
      <c r="C16" s="113"/>
      <c r="D16" s="113"/>
      <c r="E16" s="111" t="s">
        <v>26</v>
      </c>
      <c r="F16" s="111"/>
      <c r="G16" s="33" t="s">
        <v>27</v>
      </c>
      <c r="H16" s="114">
        <f>VLOOKUP($B$16,Inventario[],5,FALSE)</f>
        <v>1</v>
      </c>
      <c r="I16" s="114">
        <f>VLOOKUP($B$16,Inventario[],6,FALSE)</f>
        <v>0</v>
      </c>
      <c r="J16" s="114">
        <f>VLOOKUP($B$16,Inventario[],7,FALSE)</f>
        <v>1</v>
      </c>
      <c r="K16" s="114">
        <f>VLOOKUP($B$16,Inventario[],8,FALSE)</f>
        <v>1</v>
      </c>
      <c r="L16" s="114">
        <f>VLOOKUP($B$16,Inventario[],9,FALSE)</f>
        <v>1</v>
      </c>
    </row>
    <row r="17" spans="1:12" s="10" customFormat="1" ht="15" customHeight="1" x14ac:dyDescent="0.25">
      <c r="A17" s="38" t="str">
        <f>B16</f>
        <v>PAMIRB</v>
      </c>
      <c r="B17" s="113"/>
      <c r="C17" s="113"/>
      <c r="D17" s="113"/>
      <c r="E17" s="34">
        <v>0</v>
      </c>
      <c r="F17" s="36" t="s">
        <v>29</v>
      </c>
      <c r="G17" s="30">
        <f>(G15-G15*E17)</f>
        <v>140000</v>
      </c>
      <c r="H17" s="61" t="s">
        <v>84</v>
      </c>
      <c r="I17" s="61" t="s">
        <v>68</v>
      </c>
      <c r="J17" s="61" t="s">
        <v>69</v>
      </c>
      <c r="K17" s="61" t="s">
        <v>70</v>
      </c>
      <c r="L17" s="61" t="s">
        <v>71</v>
      </c>
    </row>
    <row r="18" spans="1:12" s="108" customFormat="1" ht="15" customHeight="1" x14ac:dyDescent="0.25">
      <c r="A18" s="106"/>
      <c r="B18" s="105"/>
      <c r="C18" s="105"/>
      <c r="D18" s="105"/>
      <c r="E18" s="107"/>
      <c r="F18" s="107"/>
      <c r="H18" s="29" t="b">
        <v>0</v>
      </c>
      <c r="I18" s="29"/>
      <c r="J18" s="29"/>
      <c r="K18" s="29"/>
      <c r="L18" s="29" t="b">
        <v>0</v>
      </c>
    </row>
    <row r="19" spans="1:12" s="108" customFormat="1" ht="15.75" customHeight="1" x14ac:dyDescent="0.25">
      <c r="A19" s="106" t="str">
        <f>B16</f>
        <v>PAMIRB</v>
      </c>
      <c r="B19" s="105"/>
      <c r="C19" s="105"/>
      <c r="D19" s="105"/>
      <c r="F19" s="109"/>
      <c r="G19" s="109"/>
      <c r="H19" s="114" t="str">
        <f>VLOOKUP($B$16,Inventario[],10,FALSE)</f>
        <v>-</v>
      </c>
      <c r="I19" s="114" t="str">
        <f>VLOOKUP($B$16,Inventario[],11,FALSE)</f>
        <v>-</v>
      </c>
      <c r="J19" s="114" t="str">
        <f>VLOOKUP($B$16,Inventario[],12,FALSE)</f>
        <v>-</v>
      </c>
      <c r="K19" s="114" t="str">
        <f>VLOOKUP($B$16,Inventario[],13,FALSE)</f>
        <v>-</v>
      </c>
      <c r="L19" s="114" t="str">
        <f>VLOOKUP($B$16,Inventario[],14,FALSE)</f>
        <v>-</v>
      </c>
    </row>
    <row r="20" spans="1:12" s="10" customFormat="1" ht="15.75" customHeight="1" x14ac:dyDescent="0.25">
      <c r="B20" s="10" t="s">
        <v>1</v>
      </c>
      <c r="C20" s="10" t="s">
        <v>15</v>
      </c>
      <c r="D20" s="10" t="s">
        <v>24</v>
      </c>
      <c r="E20" s="10" t="s">
        <v>30</v>
      </c>
      <c r="F20" s="10" t="s">
        <v>27</v>
      </c>
      <c r="H20" s="108"/>
      <c r="I20" s="108"/>
      <c r="J20" s="108"/>
      <c r="K20" s="108"/>
      <c r="L20" s="108"/>
    </row>
    <row r="21" spans="1:12" s="49" customFormat="1" ht="15.75" customHeight="1" x14ac:dyDescent="0.25">
      <c r="B21" s="49">
        <v>1001456224</v>
      </c>
      <c r="C21" s="49" t="s">
        <v>41</v>
      </c>
      <c r="D21" s="49" t="s">
        <v>23</v>
      </c>
      <c r="E21" s="49" t="s">
        <v>109</v>
      </c>
      <c r="F21" s="49">
        <v>140000</v>
      </c>
      <c r="H21" s="108"/>
      <c r="I21" s="108"/>
      <c r="J21" s="108"/>
      <c r="K21" s="108"/>
      <c r="L21" s="108"/>
    </row>
    <row r="22" spans="1:12" s="49" customFormat="1" ht="15.75" customHeight="1" x14ac:dyDescent="0.25">
      <c r="B22" s="49">
        <v>1001456224</v>
      </c>
      <c r="C22" s="49" t="s">
        <v>67</v>
      </c>
      <c r="D22" s="49" t="s">
        <v>77</v>
      </c>
      <c r="E22" s="49" t="s">
        <v>109</v>
      </c>
      <c r="F22" s="49">
        <v>109000</v>
      </c>
      <c r="H22" s="108"/>
      <c r="I22" s="108"/>
      <c r="J22" s="108"/>
      <c r="K22" s="108"/>
      <c r="L22" s="108"/>
    </row>
    <row r="23" spans="1:12" s="49" customFormat="1" ht="15.75" customHeight="1" x14ac:dyDescent="0.25">
      <c r="B23" s="10"/>
      <c r="C23" s="10"/>
      <c r="D23" s="10"/>
      <c r="E23" s="10"/>
      <c r="F23" s="10"/>
    </row>
    <row r="24" spans="1:12" s="49" customFormat="1" ht="15.75" customHeight="1" x14ac:dyDescent="0.25"/>
    <row r="25" spans="1:12" s="49" customFormat="1" ht="15.75" customHeight="1" x14ac:dyDescent="0.25">
      <c r="B25" s="62"/>
      <c r="C25" s="62"/>
      <c r="D25" s="62"/>
      <c r="E25" s="62"/>
      <c r="F25" s="10"/>
    </row>
    <row r="26" spans="1:12" s="49" customFormat="1" ht="15.75" customHeight="1" x14ac:dyDescent="0.25">
      <c r="B26" s="10"/>
      <c r="C26" s="10"/>
      <c r="D26" s="8"/>
      <c r="E26" s="10"/>
      <c r="F26" s="10"/>
    </row>
    <row r="27" spans="1:12" s="49" customFormat="1" ht="15.75" customHeight="1" x14ac:dyDescent="0.25">
      <c r="B27" s="10"/>
      <c r="C27" s="10"/>
      <c r="D27" s="8"/>
      <c r="E27" s="10"/>
      <c r="F27" s="10"/>
    </row>
    <row r="28" spans="1:12" s="49" customFormat="1" ht="15.75" customHeight="1" x14ac:dyDescent="0.25">
      <c r="B28" s="10"/>
      <c r="C28" s="10"/>
      <c r="D28" s="8"/>
      <c r="E28" s="10"/>
      <c r="F28" s="10"/>
    </row>
    <row r="29" spans="1:12" s="49" customFormat="1" ht="15.75" customHeight="1" x14ac:dyDescent="0.25">
      <c r="B29" s="10"/>
      <c r="C29" s="10"/>
      <c r="D29" s="8"/>
      <c r="E29" s="10"/>
      <c r="F29" s="10"/>
    </row>
    <row r="30" spans="1:12" s="49" customFormat="1" ht="15.75" customHeight="1" x14ac:dyDescent="0.25">
      <c r="B30" s="10"/>
      <c r="C30" s="10"/>
      <c r="D30" s="8"/>
      <c r="E30" s="10"/>
      <c r="F30" s="10"/>
    </row>
    <row r="31" spans="1:12" s="49" customFormat="1" ht="15.75" customHeight="1" x14ac:dyDescent="0.25">
      <c r="B31" s="10"/>
      <c r="C31" s="10"/>
      <c r="D31" s="8"/>
      <c r="E31" s="10"/>
      <c r="F31" s="10"/>
    </row>
    <row r="32" spans="1:12" s="49" customFormat="1" ht="15.75" customHeight="1" x14ac:dyDescent="0.25">
      <c r="B32" s="10"/>
      <c r="C32" s="10"/>
      <c r="D32" s="8"/>
      <c r="E32" s="10"/>
      <c r="F32" s="10"/>
    </row>
    <row r="33" spans="2:12" s="49" customFormat="1" ht="15.75" customHeight="1" x14ac:dyDescent="0.25">
      <c r="B33" s="10"/>
      <c r="C33" s="10"/>
      <c r="D33" s="8"/>
      <c r="E33" s="10"/>
      <c r="F33" s="10"/>
    </row>
    <row r="34" spans="2:12" s="10" customFormat="1" ht="15.75" customHeight="1" x14ac:dyDescent="0.25">
      <c r="D34" s="8"/>
      <c r="H34" s="49"/>
      <c r="I34" s="49"/>
      <c r="J34" s="49"/>
      <c r="K34" s="49"/>
      <c r="L34" s="49"/>
    </row>
    <row r="35" spans="2:12" s="10" customFormat="1" ht="15.75" customHeight="1" x14ac:dyDescent="0.25">
      <c r="D35" s="8"/>
      <c r="H35" s="49"/>
      <c r="I35" s="49"/>
      <c r="J35" s="49"/>
      <c r="K35" s="49"/>
      <c r="L35" s="49"/>
    </row>
    <row r="36" spans="2:12" s="49" customFormat="1" ht="15.75" customHeight="1" x14ac:dyDescent="0.25">
      <c r="B36" s="10"/>
      <c r="C36" s="10"/>
      <c r="D36" s="8"/>
      <c r="E36" s="10"/>
      <c r="F36" s="10"/>
      <c r="H36" s="60"/>
    </row>
    <row r="37" spans="2:12" s="49" customFormat="1" ht="15.75" customHeight="1" x14ac:dyDescent="0.25">
      <c r="B37" s="10"/>
      <c r="C37" s="10"/>
      <c r="D37" s="8"/>
      <c r="E37" s="10"/>
      <c r="F37" s="10"/>
      <c r="H37" s="60"/>
    </row>
    <row r="38" spans="2:12" s="49" customFormat="1" ht="15.75" customHeight="1" x14ac:dyDescent="0.25">
      <c r="B38" s="10"/>
      <c r="C38" s="10"/>
      <c r="D38" s="8"/>
      <c r="E38" s="10"/>
      <c r="F38" s="10"/>
      <c r="H38" s="60"/>
    </row>
    <row r="39" spans="2:12" s="49" customFormat="1" ht="15.75" customHeight="1" x14ac:dyDescent="0.25">
      <c r="B39" s="10"/>
      <c r="C39" s="10"/>
      <c r="D39" s="8"/>
      <c r="E39" s="10"/>
      <c r="F39" s="10"/>
      <c r="H39" s="60"/>
    </row>
    <row r="40" spans="2:12" s="49" customFormat="1" ht="15.75" customHeight="1" x14ac:dyDescent="0.25">
      <c r="B40" s="10"/>
      <c r="C40" s="10"/>
      <c r="D40" s="8"/>
      <c r="E40" s="10"/>
      <c r="F40" s="10"/>
      <c r="H40" s="60"/>
    </row>
    <row r="41" spans="2:12" s="49" customFormat="1" ht="15.75" customHeight="1" x14ac:dyDescent="0.25">
      <c r="B41" s="10"/>
      <c r="C41" s="10"/>
      <c r="D41" s="8"/>
      <c r="E41" s="10"/>
      <c r="F41" s="10"/>
      <c r="H41" s="60"/>
    </row>
    <row r="42" spans="2:12" s="49" customFormat="1" ht="15.75" customHeight="1" x14ac:dyDescent="0.25">
      <c r="B42" s="10"/>
      <c r="C42" s="10"/>
      <c r="D42" s="8"/>
      <c r="E42" s="10"/>
      <c r="F42" s="10"/>
      <c r="H42" s="60"/>
    </row>
    <row r="43" spans="2:12" s="49" customFormat="1" ht="15.75" customHeight="1" x14ac:dyDescent="0.25">
      <c r="B43" s="10"/>
      <c r="C43" s="10"/>
      <c r="D43" s="8"/>
      <c r="E43" s="10"/>
      <c r="F43" s="10"/>
      <c r="H43" s="60"/>
    </row>
    <row r="44" spans="2:12" s="49" customFormat="1" ht="15.75" customHeight="1" x14ac:dyDescent="0.25">
      <c r="B44" s="10"/>
      <c r="C44" s="10"/>
      <c r="D44" s="8"/>
      <c r="E44" s="10"/>
      <c r="F44" s="10"/>
      <c r="H44" s="60"/>
    </row>
    <row r="45" spans="2:12" s="49" customFormat="1" ht="15.75" customHeight="1" x14ac:dyDescent="0.25">
      <c r="B45" s="10"/>
      <c r="C45" s="10"/>
      <c r="D45" s="8"/>
      <c r="E45" s="10"/>
      <c r="F45" s="10"/>
      <c r="H45" s="60"/>
    </row>
    <row r="46" spans="2:12" s="49" customFormat="1" ht="15.75" customHeight="1" x14ac:dyDescent="0.25">
      <c r="B46" s="10"/>
      <c r="C46" s="10"/>
      <c r="D46" s="8"/>
      <c r="E46" s="10"/>
      <c r="F46" s="10"/>
      <c r="H46" s="60"/>
    </row>
    <row r="47" spans="2:12" s="49" customFormat="1" ht="15.75" customHeight="1" x14ac:dyDescent="0.25">
      <c r="B47" s="10"/>
      <c r="C47" s="10"/>
      <c r="D47" s="8"/>
      <c r="E47" s="10"/>
      <c r="F47" s="10"/>
      <c r="H47" s="60"/>
    </row>
    <row r="48" spans="2:12" s="49" customFormat="1" ht="15.75" customHeight="1" x14ac:dyDescent="0.25">
      <c r="B48" s="10"/>
      <c r="C48" s="10"/>
      <c r="D48" s="8"/>
      <c r="E48" s="10"/>
      <c r="F48" s="10"/>
      <c r="H48" s="60"/>
    </row>
    <row r="49" spans="2:8" s="49" customFormat="1" ht="15.75" customHeight="1" x14ac:dyDescent="0.25">
      <c r="B49" s="10"/>
      <c r="C49" s="10"/>
      <c r="D49" s="8"/>
      <c r="E49" s="10"/>
      <c r="F49" s="10"/>
      <c r="H49" s="60"/>
    </row>
    <row r="50" spans="2:8" s="49" customFormat="1" ht="15.75" customHeight="1" x14ac:dyDescent="0.25">
      <c r="B50" s="10"/>
      <c r="C50" s="10"/>
      <c r="D50" s="8"/>
      <c r="E50" s="10"/>
      <c r="F50" s="10"/>
      <c r="H50" s="60"/>
    </row>
    <row r="51" spans="2:8" s="49" customFormat="1" ht="15.75" customHeight="1" x14ac:dyDescent="0.25">
      <c r="B51" s="10"/>
      <c r="C51" s="10"/>
      <c r="D51" s="8"/>
      <c r="E51" s="10"/>
      <c r="F51" s="10"/>
      <c r="H51" s="60"/>
    </row>
    <row r="52" spans="2:8" s="49" customFormat="1" ht="15.75" customHeight="1" x14ac:dyDescent="0.25">
      <c r="B52" s="10"/>
      <c r="C52" s="10"/>
      <c r="D52" s="8"/>
      <c r="E52" s="10"/>
      <c r="F52" s="10"/>
      <c r="H52" s="60"/>
    </row>
    <row r="53" spans="2:8" s="49" customFormat="1" ht="15.75" customHeight="1" x14ac:dyDescent="0.25">
      <c r="B53" s="10"/>
      <c r="C53" s="10"/>
      <c r="D53" s="8"/>
      <c r="E53" s="10"/>
      <c r="F53" s="10"/>
      <c r="H53" s="60"/>
    </row>
    <row r="54" spans="2:8" s="49" customFormat="1" ht="15.75" customHeight="1" x14ac:dyDescent="0.25">
      <c r="B54" s="10"/>
      <c r="C54" s="10"/>
      <c r="D54" s="8"/>
      <c r="E54" s="10"/>
      <c r="F54" s="10"/>
      <c r="H54" s="60"/>
    </row>
    <row r="55" spans="2:8" s="49" customFormat="1" ht="15.75" customHeight="1" x14ac:dyDescent="0.25">
      <c r="B55" s="10"/>
      <c r="C55" s="10"/>
      <c r="D55" s="8"/>
      <c r="E55" s="10"/>
      <c r="F55" s="10"/>
      <c r="H55" s="60"/>
    </row>
    <row r="56" spans="2:8" s="49" customFormat="1" ht="15.75" customHeight="1" x14ac:dyDescent="0.25">
      <c r="B56" s="10"/>
      <c r="C56" s="10"/>
      <c r="D56" s="8"/>
      <c r="E56" s="10"/>
      <c r="F56" s="10"/>
      <c r="H56" s="60"/>
    </row>
    <row r="57" spans="2:8" s="49" customFormat="1" ht="15.75" customHeight="1" x14ac:dyDescent="0.25">
      <c r="B57" s="10"/>
      <c r="C57" s="10"/>
      <c r="D57" s="8"/>
      <c r="E57" s="10"/>
      <c r="F57" s="10"/>
      <c r="H57" s="60"/>
    </row>
    <row r="58" spans="2:8" s="49" customFormat="1" ht="15.75" customHeight="1" x14ac:dyDescent="0.25">
      <c r="B58" s="10"/>
      <c r="C58" s="10"/>
      <c r="D58" s="8"/>
      <c r="E58" s="10"/>
      <c r="F58" s="10"/>
      <c r="H58" s="60"/>
    </row>
    <row r="59" spans="2:8" s="49" customFormat="1" ht="15.75" customHeight="1" x14ac:dyDescent="0.25">
      <c r="B59" s="10"/>
      <c r="C59" s="10"/>
      <c r="D59" s="8"/>
      <c r="E59" s="10"/>
      <c r="F59" s="10"/>
      <c r="H59" s="60"/>
    </row>
    <row r="60" spans="2:8" s="49" customFormat="1" ht="15.75" customHeight="1" x14ac:dyDescent="0.25">
      <c r="B60" s="10"/>
      <c r="C60" s="10"/>
      <c r="D60" s="8"/>
      <c r="E60" s="10"/>
      <c r="F60" s="10"/>
      <c r="H60" s="60"/>
    </row>
    <row r="61" spans="2:8" s="49" customFormat="1" ht="15.75" customHeight="1" x14ac:dyDescent="0.25">
      <c r="B61" s="10"/>
      <c r="C61" s="10"/>
      <c r="D61" s="8"/>
      <c r="E61" s="10"/>
      <c r="F61" s="10"/>
      <c r="H61" s="60"/>
    </row>
    <row r="62" spans="2:8" s="49" customFormat="1" ht="15.75" customHeight="1" x14ac:dyDescent="0.25">
      <c r="B62" s="10"/>
      <c r="C62" s="10"/>
      <c r="D62" s="8"/>
      <c r="E62" s="10"/>
      <c r="F62" s="10"/>
      <c r="H62" s="60"/>
    </row>
    <row r="63" spans="2:8" s="49" customFormat="1" ht="15.75" customHeight="1" x14ac:dyDescent="0.25">
      <c r="B63" s="10"/>
      <c r="C63" s="10"/>
      <c r="D63" s="8"/>
      <c r="E63" s="10"/>
      <c r="F63" s="10"/>
      <c r="H63" s="60"/>
    </row>
    <row r="64" spans="2:8" s="49" customFormat="1" ht="15.75" customHeight="1" x14ac:dyDescent="0.25">
      <c r="B64" s="10"/>
      <c r="C64" s="10"/>
      <c r="D64" s="8"/>
      <c r="E64" s="10"/>
      <c r="F64" s="10"/>
      <c r="H64" s="60"/>
    </row>
    <row r="65" spans="2:8" s="49" customFormat="1" ht="15.75" customHeight="1" x14ac:dyDescent="0.25">
      <c r="B65" s="10"/>
      <c r="C65" s="10"/>
      <c r="D65" s="8"/>
      <c r="E65" s="10"/>
      <c r="F65" s="10"/>
      <c r="H65" s="60"/>
    </row>
    <row r="66" spans="2:8" s="49" customFormat="1" ht="15.75" customHeight="1" x14ac:dyDescent="0.25">
      <c r="B66" s="10"/>
      <c r="C66" s="10"/>
      <c r="D66" s="8"/>
      <c r="E66" s="10"/>
      <c r="F66" s="10"/>
      <c r="H66" s="60"/>
    </row>
    <row r="67" spans="2:8" s="49" customFormat="1" ht="15.75" customHeight="1" x14ac:dyDescent="0.25">
      <c r="B67" s="10"/>
      <c r="C67" s="10"/>
      <c r="D67" s="8"/>
      <c r="E67" s="10"/>
      <c r="F67" s="10"/>
      <c r="H67" s="60"/>
    </row>
    <row r="68" spans="2:8" s="49" customFormat="1" ht="15.75" customHeight="1" x14ac:dyDescent="0.25">
      <c r="B68" s="10"/>
      <c r="C68" s="10"/>
      <c r="D68" s="8"/>
      <c r="E68" s="10"/>
      <c r="F68" s="10"/>
      <c r="H68" s="60"/>
    </row>
    <row r="69" spans="2:8" s="49" customFormat="1" ht="15.75" customHeight="1" x14ac:dyDescent="0.25">
      <c r="B69" s="10"/>
      <c r="C69" s="10"/>
      <c r="D69" s="8"/>
      <c r="E69" s="10"/>
      <c r="F69" s="10"/>
      <c r="H69" s="60"/>
    </row>
    <row r="70" spans="2:8" s="49" customFormat="1" ht="15.75" customHeight="1" x14ac:dyDescent="0.25">
      <c r="B70" s="10"/>
      <c r="C70" s="10"/>
      <c r="D70" s="8"/>
      <c r="E70" s="10"/>
      <c r="F70" s="10"/>
      <c r="H70" s="60"/>
    </row>
    <row r="71" spans="2:8" s="49" customFormat="1" ht="15.75" customHeight="1" x14ac:dyDescent="0.25">
      <c r="B71" s="10"/>
      <c r="C71" s="10"/>
      <c r="D71" s="8"/>
      <c r="E71" s="10"/>
      <c r="F71" s="10"/>
      <c r="H71" s="60"/>
    </row>
    <row r="72" spans="2:8" s="10" customFormat="1" ht="15.75" customHeight="1" x14ac:dyDescent="0.25">
      <c r="D72" s="8"/>
    </row>
    <row r="73" spans="2:8" s="10" customFormat="1" ht="15.75" customHeight="1" x14ac:dyDescent="0.25">
      <c r="D73" s="8"/>
      <c r="F73" s="8"/>
    </row>
    <row r="74" spans="2:8" s="10" customFormat="1" ht="15.75" customHeight="1" x14ac:dyDescent="0.25">
      <c r="D74" s="8"/>
      <c r="F74" s="8"/>
    </row>
    <row r="75" spans="2:8" s="10" customFormat="1" ht="15.75" customHeight="1" x14ac:dyDescent="0.25">
      <c r="D75" s="8"/>
      <c r="F75" s="8"/>
    </row>
    <row r="76" spans="2:8" s="10" customFormat="1" ht="15.75" customHeight="1" x14ac:dyDescent="0.25">
      <c r="D76" s="8"/>
      <c r="F76" s="8"/>
    </row>
    <row r="77" spans="2:8" s="10" customFormat="1" ht="15.75" customHeight="1" x14ac:dyDescent="0.25">
      <c r="D77" s="8"/>
      <c r="F77" s="8"/>
    </row>
    <row r="78" spans="2:8" s="10" customFormat="1" ht="15.75" customHeight="1" x14ac:dyDescent="0.25">
      <c r="D78" s="8"/>
      <c r="F78" s="8"/>
    </row>
    <row r="79" spans="2:8" s="10" customFormat="1" ht="15.75" customHeight="1" x14ac:dyDescent="0.25">
      <c r="D79" s="8"/>
      <c r="F79" s="8"/>
    </row>
    <row r="80" spans="2:8" s="10" customFormat="1" ht="15.75" customHeight="1" x14ac:dyDescent="0.25">
      <c r="D80" s="8"/>
      <c r="F80" s="8"/>
    </row>
    <row r="81" spans="4:6" s="10" customFormat="1" ht="15.75" customHeight="1" x14ac:dyDescent="0.25">
      <c r="D81" s="8"/>
      <c r="F81" s="8"/>
    </row>
    <row r="82" spans="4:6" s="10" customFormat="1" ht="15.75" customHeight="1" x14ac:dyDescent="0.25">
      <c r="D82" s="8"/>
      <c r="F82" s="8"/>
    </row>
    <row r="83" spans="4:6" s="10" customFormat="1" ht="15.75" customHeight="1" x14ac:dyDescent="0.25">
      <c r="D83" s="8"/>
      <c r="F83" s="8"/>
    </row>
    <row r="84" spans="4:6" s="10" customFormat="1" ht="15.75" customHeight="1" x14ac:dyDescent="0.25">
      <c r="D84" s="8"/>
      <c r="F84" s="8"/>
    </row>
    <row r="85" spans="4:6" s="10" customFormat="1" ht="15.75" customHeight="1" x14ac:dyDescent="0.25">
      <c r="D85" s="8"/>
      <c r="F85" s="8"/>
    </row>
    <row r="86" spans="4:6" s="10" customFormat="1" ht="15.75" customHeight="1" x14ac:dyDescent="0.25">
      <c r="D86" s="8"/>
      <c r="F86" s="8"/>
    </row>
    <row r="87" spans="4:6" s="10" customFormat="1" ht="15.75" customHeight="1" x14ac:dyDescent="0.25">
      <c r="D87" s="8"/>
      <c r="F87" s="8"/>
    </row>
    <row r="88" spans="4:6" s="10" customFormat="1" ht="15.75" customHeight="1" x14ac:dyDescent="0.25">
      <c r="D88" s="8"/>
      <c r="F88" s="8"/>
    </row>
    <row r="89" spans="4:6" s="10" customFormat="1" ht="15.75" customHeight="1" x14ac:dyDescent="0.25">
      <c r="D89" s="8"/>
      <c r="F89" s="8"/>
    </row>
    <row r="90" spans="4:6" s="10" customFormat="1" ht="15.75" customHeight="1" x14ac:dyDescent="0.25">
      <c r="D90" s="8"/>
      <c r="F90" s="8"/>
    </row>
    <row r="91" spans="4:6" s="10" customFormat="1" ht="15.75" customHeight="1" x14ac:dyDescent="0.25">
      <c r="D91" s="8"/>
      <c r="F91" s="8"/>
    </row>
    <row r="92" spans="4:6" s="10" customFormat="1" ht="15.75" customHeight="1" x14ac:dyDescent="0.25">
      <c r="D92" s="8"/>
      <c r="F92" s="8"/>
    </row>
    <row r="93" spans="4:6" s="10" customFormat="1" ht="15.75" customHeight="1" x14ac:dyDescent="0.25">
      <c r="D93" s="8"/>
      <c r="F93" s="8"/>
    </row>
    <row r="94" spans="4:6" s="10" customFormat="1" ht="15.75" customHeight="1" x14ac:dyDescent="0.25">
      <c r="D94" s="8"/>
      <c r="F94" s="8"/>
    </row>
    <row r="95" spans="4:6" s="10" customFormat="1" ht="15.75" customHeight="1" x14ac:dyDescent="0.25">
      <c r="D95" s="8"/>
      <c r="F95" s="8"/>
    </row>
    <row r="96" spans="4:6" s="10" customFormat="1" ht="15.75" customHeight="1" x14ac:dyDescent="0.25">
      <c r="D96" s="8"/>
      <c r="F96" s="8"/>
    </row>
    <row r="97" spans="4:6" s="10" customFormat="1" ht="15.75" customHeight="1" x14ac:dyDescent="0.25">
      <c r="D97" s="8"/>
      <c r="F97" s="8"/>
    </row>
    <row r="98" spans="4:6" s="10" customFormat="1" ht="15.75" customHeight="1" x14ac:dyDescent="0.25">
      <c r="D98" s="8"/>
      <c r="F98" s="8"/>
    </row>
    <row r="99" spans="4:6" s="10" customFormat="1" ht="15.75" customHeight="1" x14ac:dyDescent="0.25">
      <c r="D99" s="8"/>
      <c r="F99" s="8"/>
    </row>
    <row r="100" spans="4:6" s="10" customFormat="1" ht="15.75" customHeight="1" x14ac:dyDescent="0.25">
      <c r="D100" s="8"/>
      <c r="F100" s="8"/>
    </row>
    <row r="101" spans="4:6" s="10" customFormat="1" ht="15.75" customHeight="1" x14ac:dyDescent="0.25">
      <c r="D101" s="8"/>
      <c r="F101" s="8"/>
    </row>
    <row r="102" spans="4:6" s="10" customFormat="1" ht="15.75" customHeight="1" x14ac:dyDescent="0.25">
      <c r="D102" s="8"/>
      <c r="F102" s="8"/>
    </row>
    <row r="103" spans="4:6" s="10" customFormat="1" ht="15.75" customHeight="1" x14ac:dyDescent="0.25">
      <c r="D103" s="8"/>
      <c r="F103" s="8"/>
    </row>
    <row r="104" spans="4:6" s="10" customFormat="1" ht="15.75" customHeight="1" x14ac:dyDescent="0.25">
      <c r="D104" s="8"/>
      <c r="F104" s="8"/>
    </row>
    <row r="105" spans="4:6" s="10" customFormat="1" ht="15.75" customHeight="1" x14ac:dyDescent="0.25">
      <c r="D105" s="8"/>
      <c r="F105" s="8"/>
    </row>
    <row r="106" spans="4:6" s="10" customFormat="1" ht="15.75" customHeight="1" x14ac:dyDescent="0.25">
      <c r="D106" s="8"/>
      <c r="F106" s="8"/>
    </row>
    <row r="107" spans="4:6" s="10" customFormat="1" ht="15.75" customHeight="1" x14ac:dyDescent="0.25">
      <c r="D107" s="8"/>
      <c r="F107" s="8"/>
    </row>
    <row r="108" spans="4:6" s="10" customFormat="1" ht="15.75" customHeight="1" x14ac:dyDescent="0.25">
      <c r="D108" s="8"/>
      <c r="F108" s="8"/>
    </row>
    <row r="109" spans="4:6" s="10" customFormat="1" ht="15.75" customHeight="1" x14ac:dyDescent="0.25">
      <c r="D109" s="8"/>
      <c r="F109" s="8"/>
    </row>
    <row r="110" spans="4:6" s="10" customFormat="1" ht="15.75" customHeight="1" x14ac:dyDescent="0.25">
      <c r="D110" s="8"/>
      <c r="F110" s="8"/>
    </row>
    <row r="111" spans="4:6" s="10" customFormat="1" ht="15.75" customHeight="1" x14ac:dyDescent="0.25">
      <c r="D111" s="8"/>
      <c r="F111" s="8"/>
    </row>
    <row r="112" spans="4:6" s="10" customFormat="1" ht="15.75" customHeight="1" x14ac:dyDescent="0.25">
      <c r="D112" s="8"/>
      <c r="F112" s="8"/>
    </row>
    <row r="113" spans="1:6" s="10" customFormat="1" ht="15.75" customHeight="1" x14ac:dyDescent="0.25">
      <c r="D113" s="8"/>
      <c r="F113" s="8"/>
    </row>
    <row r="114" spans="1:6" s="10" customFormat="1" ht="15.75" customHeight="1" x14ac:dyDescent="0.25">
      <c r="D114" s="8"/>
      <c r="F114" s="8"/>
    </row>
    <row r="115" spans="1:6" s="10" customFormat="1" ht="15.75" customHeight="1" x14ac:dyDescent="0.25">
      <c r="D115" s="8"/>
      <c r="F115" s="8"/>
    </row>
    <row r="116" spans="1:6" s="10" customFormat="1" ht="15.75" customHeight="1" x14ac:dyDescent="0.25">
      <c r="D116" s="8"/>
      <c r="F116" s="8"/>
    </row>
    <row r="117" spans="1:6" s="10" customFormat="1" ht="15.75" customHeight="1" x14ac:dyDescent="0.25">
      <c r="D117" s="8"/>
      <c r="F117" s="8"/>
    </row>
    <row r="118" spans="1:6" s="10" customFormat="1" ht="15.75" customHeight="1" x14ac:dyDescent="0.25">
      <c r="D118" s="8"/>
      <c r="F118" s="8"/>
    </row>
    <row r="119" spans="1:6" s="10" customFormat="1" ht="15.75" customHeight="1" x14ac:dyDescent="0.25">
      <c r="D119" s="8"/>
      <c r="F119" s="8"/>
    </row>
    <row r="120" spans="1:6" s="10" customFormat="1" ht="15.75" customHeight="1" x14ac:dyDescent="0.25">
      <c r="D120" s="8"/>
      <c r="F120" s="8"/>
    </row>
    <row r="121" spans="1:6" s="10" customFormat="1" ht="15.75" customHeight="1" x14ac:dyDescent="0.25">
      <c r="D121" s="8"/>
      <c r="F121" s="8"/>
    </row>
    <row r="122" spans="1:6" s="10" customFormat="1" ht="15.75" customHeight="1" x14ac:dyDescent="0.25">
      <c r="D122" s="8"/>
      <c r="F122" s="8"/>
    </row>
    <row r="123" spans="1:6" s="10" customFormat="1" ht="15.75" customHeight="1" x14ac:dyDescent="0.25">
      <c r="D123" s="8"/>
      <c r="F123" s="8"/>
    </row>
    <row r="124" spans="1:6" s="10" customFormat="1" ht="15.75" customHeight="1" x14ac:dyDescent="0.25">
      <c r="D124" s="8"/>
      <c r="F124" s="8"/>
    </row>
    <row r="125" spans="1:6" s="10" customFormat="1" ht="15.75" customHeight="1" x14ac:dyDescent="0.25">
      <c r="D125" s="8"/>
      <c r="F125" s="8"/>
    </row>
    <row r="126" spans="1:6" s="10" customFormat="1" ht="15.75" customHeight="1" x14ac:dyDescent="0.25">
      <c r="D126" s="8"/>
      <c r="F126" s="8"/>
    </row>
    <row r="127" spans="1:6" s="10" customFormat="1" ht="15.75" customHeight="1" x14ac:dyDescent="0.25">
      <c r="D127" s="8"/>
      <c r="F127" s="8"/>
    </row>
    <row r="128" spans="1:6" customFormat="1" ht="15.75" customHeight="1" x14ac:dyDescent="0.25">
      <c r="A128" s="10"/>
      <c r="B128" s="10"/>
      <c r="C128" s="10"/>
      <c r="D128" s="8"/>
      <c r="E128" s="10"/>
      <c r="F128" s="8"/>
    </row>
    <row r="129" spans="4:6" s="10" customFormat="1" ht="15.75" customHeight="1" x14ac:dyDescent="0.25">
      <c r="D129" s="8"/>
      <c r="F129" s="8"/>
    </row>
    <row r="130" spans="4:6" s="10" customFormat="1" ht="15.75" customHeight="1" x14ac:dyDescent="0.25">
      <c r="D130" s="8"/>
      <c r="F130" s="8"/>
    </row>
    <row r="131" spans="4:6" s="10" customFormat="1" ht="15" customHeight="1" x14ac:dyDescent="0.25">
      <c r="D131" s="8"/>
      <c r="F131" s="8"/>
    </row>
    <row r="132" spans="4:6" s="10" customFormat="1" ht="15.75" customHeight="1" x14ac:dyDescent="0.25">
      <c r="D132" s="8"/>
      <c r="F132" s="8"/>
    </row>
    <row r="133" spans="4:6" s="10" customFormat="1" ht="15.75" customHeight="1" x14ac:dyDescent="0.25">
      <c r="D133" s="8"/>
      <c r="F133" s="8"/>
    </row>
    <row r="134" spans="4:6" s="10" customFormat="1" ht="15.75" customHeight="1" x14ac:dyDescent="0.25">
      <c r="D134" s="8"/>
      <c r="F134" s="8"/>
    </row>
    <row r="135" spans="4:6" s="10" customFormat="1" ht="15.75" customHeight="1" x14ac:dyDescent="0.25">
      <c r="D135" s="8"/>
      <c r="F135" s="8"/>
    </row>
    <row r="136" spans="4:6" s="10" customFormat="1" ht="15.75" customHeight="1" x14ac:dyDescent="0.25">
      <c r="D136" s="8"/>
      <c r="F136" s="8"/>
    </row>
    <row r="137" spans="4:6" s="10" customFormat="1" ht="15.75" customHeight="1" x14ac:dyDescent="0.25">
      <c r="D137" s="8"/>
      <c r="F137" s="8"/>
    </row>
    <row r="138" spans="4:6" s="10" customFormat="1" ht="15.75" customHeight="1" x14ac:dyDescent="0.25">
      <c r="D138" s="8"/>
      <c r="F138" s="8"/>
    </row>
    <row r="139" spans="4:6" s="10" customFormat="1" ht="15.75" customHeight="1" x14ac:dyDescent="0.25">
      <c r="D139" s="8"/>
      <c r="F139" s="8"/>
    </row>
    <row r="140" spans="4:6" s="10" customFormat="1" ht="15.75" customHeight="1" x14ac:dyDescent="0.25">
      <c r="D140" s="8"/>
      <c r="F140" s="8"/>
    </row>
    <row r="141" spans="4:6" s="10" customFormat="1" ht="15.75" customHeight="1" x14ac:dyDescent="0.25">
      <c r="D141" s="8"/>
      <c r="F141" s="8"/>
    </row>
    <row r="142" spans="4:6" s="10" customFormat="1" ht="15.75" customHeight="1" x14ac:dyDescent="0.25">
      <c r="D142" s="8"/>
      <c r="F142" s="8"/>
    </row>
    <row r="143" spans="4:6" s="10" customFormat="1" x14ac:dyDescent="0.25">
      <c r="D143" s="8"/>
      <c r="F143" s="8"/>
    </row>
    <row r="144" spans="4:6" s="10" customFormat="1" x14ac:dyDescent="0.25">
      <c r="D144" s="8"/>
      <c r="F144" s="8"/>
    </row>
    <row r="145" spans="4:7" s="10" customFormat="1" ht="15" customHeight="1" x14ac:dyDescent="0.25">
      <c r="D145" s="8"/>
      <c r="F145" s="8"/>
      <c r="G145" s="8"/>
    </row>
    <row r="146" spans="4:7" s="10" customFormat="1" ht="15" customHeight="1" x14ac:dyDescent="0.25">
      <c r="D146" s="8"/>
      <c r="F146" s="8"/>
    </row>
    <row r="147" spans="4:7" s="10" customFormat="1" x14ac:dyDescent="0.25">
      <c r="D147" s="8"/>
      <c r="F147" s="8"/>
    </row>
    <row r="148" spans="4:7" s="10" customFormat="1" x14ac:dyDescent="0.25">
      <c r="D148" s="8"/>
      <c r="F148" s="8"/>
    </row>
    <row r="149" spans="4:7" s="10" customFormat="1" x14ac:dyDescent="0.25">
      <c r="D149" s="8"/>
      <c r="F149" s="8"/>
    </row>
    <row r="150" spans="4:7" s="10" customFormat="1" x14ac:dyDescent="0.25">
      <c r="D150" s="8"/>
      <c r="F150" s="8"/>
    </row>
    <row r="151" spans="4:7" s="10" customFormat="1" x14ac:dyDescent="0.25">
      <c r="D151" s="8"/>
      <c r="F151" s="8"/>
    </row>
    <row r="152" spans="4:7" s="10" customFormat="1" x14ac:dyDescent="0.25">
      <c r="D152" s="8"/>
      <c r="F152" s="8"/>
    </row>
    <row r="153" spans="4:7" s="10" customFormat="1" x14ac:dyDescent="0.25">
      <c r="D153" s="8"/>
      <c r="F153" s="8"/>
    </row>
    <row r="154" spans="4:7" s="10" customFormat="1" x14ac:dyDescent="0.25">
      <c r="D154" s="8"/>
      <c r="F154" s="8"/>
    </row>
    <row r="155" spans="4:7" s="10" customFormat="1" x14ac:dyDescent="0.25">
      <c r="D155" s="8"/>
      <c r="F155" s="8"/>
    </row>
    <row r="156" spans="4:7" s="10" customFormat="1" x14ac:dyDescent="0.25">
      <c r="D156" s="8"/>
      <c r="F156" s="8"/>
    </row>
    <row r="157" spans="4:7" s="10" customFormat="1" x14ac:dyDescent="0.25">
      <c r="D157" s="8"/>
      <c r="F157" s="8"/>
    </row>
    <row r="158" spans="4:7" s="10" customFormat="1" x14ac:dyDescent="0.25">
      <c r="D158" s="8"/>
      <c r="F158" s="8"/>
      <c r="G158" s="8"/>
    </row>
    <row r="159" spans="4:7" s="10" customFormat="1" x14ac:dyDescent="0.25">
      <c r="D159" s="8"/>
      <c r="F159" s="8"/>
      <c r="G159" s="8"/>
    </row>
    <row r="160" spans="4:7" s="10" customFormat="1" x14ac:dyDescent="0.25">
      <c r="D160" s="8"/>
      <c r="F160" s="8"/>
      <c r="G160" s="8"/>
    </row>
    <row r="161" spans="4:7" s="10" customFormat="1" ht="15" customHeight="1" x14ac:dyDescent="0.25">
      <c r="D161" s="8"/>
      <c r="F161" s="8"/>
      <c r="G161" s="8"/>
    </row>
    <row r="162" spans="4:7" s="10" customFormat="1" ht="15" customHeight="1" x14ac:dyDescent="0.25">
      <c r="D162" s="8"/>
      <c r="F162" s="8"/>
      <c r="G162" s="8"/>
    </row>
    <row r="163" spans="4:7" s="10" customFormat="1" ht="15" customHeight="1" x14ac:dyDescent="0.25">
      <c r="D163" s="8"/>
      <c r="F163" s="8"/>
      <c r="G163" s="8"/>
    </row>
    <row r="164" spans="4:7" s="10" customFormat="1" x14ac:dyDescent="0.25">
      <c r="D164" s="8"/>
      <c r="F164" s="8"/>
      <c r="G164" s="8"/>
    </row>
    <row r="165" spans="4:7" s="10" customFormat="1" x14ac:dyDescent="0.25">
      <c r="D165" s="8"/>
      <c r="F165" s="8"/>
      <c r="G165" s="8"/>
    </row>
    <row r="166" spans="4:7" s="10" customFormat="1" x14ac:dyDescent="0.25">
      <c r="D166" s="8"/>
      <c r="F166" s="8"/>
      <c r="G166" s="8"/>
    </row>
    <row r="167" spans="4:7" s="10" customFormat="1" x14ac:dyDescent="0.25">
      <c r="D167" s="8"/>
      <c r="F167" s="8"/>
      <c r="G167" s="8"/>
    </row>
    <row r="168" spans="4:7" s="10" customFormat="1" x14ac:dyDescent="0.25">
      <c r="D168" s="8"/>
      <c r="F168" s="8"/>
      <c r="G168" s="8"/>
    </row>
    <row r="169" spans="4:7" s="10" customFormat="1" x14ac:dyDescent="0.25">
      <c r="D169" s="8"/>
      <c r="F169" s="8"/>
      <c r="G169" s="8"/>
    </row>
    <row r="170" spans="4:7" s="10" customFormat="1" x14ac:dyDescent="0.25">
      <c r="D170" s="8"/>
      <c r="F170" s="8"/>
      <c r="G170" s="8"/>
    </row>
    <row r="171" spans="4:7" s="10" customFormat="1" x14ac:dyDescent="0.25">
      <c r="D171" s="8"/>
      <c r="F171" s="8"/>
      <c r="G171" s="8"/>
    </row>
    <row r="172" spans="4:7" s="10" customFormat="1" x14ac:dyDescent="0.25">
      <c r="D172" s="8"/>
      <c r="F172" s="8"/>
      <c r="G172" s="8"/>
    </row>
    <row r="173" spans="4:7" s="10" customFormat="1" x14ac:dyDescent="0.25">
      <c r="D173" s="8"/>
      <c r="F173" s="8"/>
      <c r="G173" s="8"/>
    </row>
    <row r="174" spans="4:7" s="10" customFormat="1" x14ac:dyDescent="0.25">
      <c r="D174" s="8"/>
      <c r="F174" s="8"/>
      <c r="G174" s="8"/>
    </row>
    <row r="175" spans="4:7" s="10" customFormat="1" x14ac:dyDescent="0.25">
      <c r="D175" s="8"/>
      <c r="F175" s="8"/>
      <c r="G175" s="8"/>
    </row>
    <row r="176" spans="4:7" s="10" customFormat="1" x14ac:dyDescent="0.25">
      <c r="D176" s="8"/>
      <c r="F176" s="8"/>
      <c r="G176" s="8"/>
    </row>
    <row r="177" spans="4:7" s="10" customFormat="1" x14ac:dyDescent="0.25">
      <c r="D177" s="8"/>
      <c r="F177" s="8"/>
      <c r="G177" s="8"/>
    </row>
    <row r="178" spans="4:7" s="10" customFormat="1" x14ac:dyDescent="0.25">
      <c r="D178" s="8"/>
      <c r="F178" s="8"/>
      <c r="G178" s="8"/>
    </row>
    <row r="179" spans="4:7" s="10" customFormat="1" x14ac:dyDescent="0.25">
      <c r="D179" s="8"/>
      <c r="F179" s="8"/>
      <c r="G179" s="8"/>
    </row>
    <row r="180" spans="4:7" s="10" customFormat="1" x14ac:dyDescent="0.25">
      <c r="D180" s="8"/>
      <c r="F180" s="8"/>
      <c r="G180" s="8"/>
    </row>
    <row r="181" spans="4:7" s="10" customFormat="1" x14ac:dyDescent="0.25">
      <c r="D181" s="8"/>
      <c r="F181" s="8"/>
      <c r="G181" s="8"/>
    </row>
    <row r="182" spans="4:7" s="10" customFormat="1" x14ac:dyDescent="0.25">
      <c r="D182" s="8"/>
      <c r="F182" s="8"/>
      <c r="G182" s="8"/>
    </row>
    <row r="183" spans="4:7" s="10" customFormat="1" x14ac:dyDescent="0.25">
      <c r="D183" s="8"/>
      <c r="F183" s="8"/>
      <c r="G183" s="8"/>
    </row>
    <row r="184" spans="4:7" s="10" customFormat="1" x14ac:dyDescent="0.25">
      <c r="D184" s="8"/>
      <c r="F184" s="8"/>
      <c r="G184" s="8"/>
    </row>
    <row r="185" spans="4:7" s="10" customFormat="1" x14ac:dyDescent="0.25">
      <c r="D185" s="8"/>
      <c r="F185" s="8"/>
      <c r="G185" s="8"/>
    </row>
    <row r="186" spans="4:7" s="10" customFormat="1" x14ac:dyDescent="0.25">
      <c r="D186" s="8"/>
      <c r="F186" s="8"/>
      <c r="G186" s="8"/>
    </row>
    <row r="187" spans="4:7" s="10" customFormat="1" x14ac:dyDescent="0.25">
      <c r="D187" s="8"/>
      <c r="F187" s="8"/>
      <c r="G187" s="8"/>
    </row>
    <row r="188" spans="4:7" s="10" customFormat="1" x14ac:dyDescent="0.25">
      <c r="D188" s="8"/>
      <c r="F188" s="8"/>
      <c r="G188" s="8"/>
    </row>
    <row r="189" spans="4:7" s="10" customFormat="1" x14ac:dyDescent="0.25">
      <c r="D189" s="8"/>
      <c r="F189" s="8"/>
      <c r="G189" s="8"/>
    </row>
    <row r="190" spans="4:7" s="10" customFormat="1" x14ac:dyDescent="0.25">
      <c r="D190" s="8"/>
      <c r="F190" s="8"/>
      <c r="G190" s="8"/>
    </row>
    <row r="191" spans="4:7" s="10" customFormat="1" x14ac:dyDescent="0.25">
      <c r="D191" s="8"/>
      <c r="F191" s="8"/>
      <c r="G191" s="8"/>
    </row>
    <row r="192" spans="4:7" s="10" customFormat="1" x14ac:dyDescent="0.25">
      <c r="D192" s="8"/>
      <c r="F192" s="8"/>
      <c r="G192" s="8"/>
    </row>
    <row r="193" spans="4:7" s="10" customFormat="1" x14ac:dyDescent="0.25">
      <c r="D193" s="8"/>
      <c r="F193" s="8"/>
      <c r="G193" s="8"/>
    </row>
    <row r="194" spans="4:7" s="10" customFormat="1" x14ac:dyDescent="0.25">
      <c r="D194" s="8"/>
      <c r="F194" s="8"/>
      <c r="G194" s="8"/>
    </row>
    <row r="195" spans="4:7" s="10" customFormat="1" x14ac:dyDescent="0.25">
      <c r="D195" s="8"/>
      <c r="F195" s="8"/>
      <c r="G195" s="8"/>
    </row>
    <row r="196" spans="4:7" s="10" customFormat="1" x14ac:dyDescent="0.25">
      <c r="D196" s="8"/>
      <c r="F196" s="8"/>
      <c r="G196" s="8"/>
    </row>
    <row r="197" spans="4:7" s="10" customFormat="1" x14ac:dyDescent="0.25">
      <c r="D197" s="8"/>
      <c r="F197" s="8"/>
      <c r="G197" s="8"/>
    </row>
    <row r="198" spans="4:7" s="10" customFormat="1" x14ac:dyDescent="0.25">
      <c r="D198" s="8"/>
      <c r="F198" s="8"/>
      <c r="G198" s="8"/>
    </row>
    <row r="199" spans="4:7" s="10" customFormat="1" x14ac:dyDescent="0.25">
      <c r="D199" s="8"/>
      <c r="F199" s="8"/>
      <c r="G199" s="8"/>
    </row>
    <row r="200" spans="4:7" s="10" customFormat="1" x14ac:dyDescent="0.25">
      <c r="D200" s="8"/>
      <c r="F200" s="8"/>
      <c r="G200" s="8"/>
    </row>
    <row r="201" spans="4:7" s="10" customFormat="1" x14ac:dyDescent="0.25">
      <c r="D201" s="8"/>
      <c r="F201" s="8"/>
      <c r="G201" s="8"/>
    </row>
    <row r="202" spans="4:7" s="10" customFormat="1" x14ac:dyDescent="0.25">
      <c r="D202" s="8"/>
      <c r="F202" s="8"/>
      <c r="G202" s="8"/>
    </row>
    <row r="203" spans="4:7" s="10" customFormat="1" x14ac:dyDescent="0.25">
      <c r="D203" s="8"/>
      <c r="F203" s="8"/>
      <c r="G203" s="8"/>
    </row>
    <row r="204" spans="4:7" s="10" customFormat="1" x14ac:dyDescent="0.25">
      <c r="D204" s="8"/>
      <c r="F204" s="8"/>
      <c r="G204" s="8"/>
    </row>
    <row r="205" spans="4:7" s="10" customFormat="1" x14ac:dyDescent="0.25">
      <c r="D205" s="8"/>
      <c r="F205" s="8"/>
      <c r="G205" s="8"/>
    </row>
  </sheetData>
  <mergeCells count="18"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  <mergeCell ref="H12:L13"/>
    <mergeCell ref="E15:F15"/>
    <mergeCell ref="B12:G13"/>
    <mergeCell ref="B14:D15"/>
    <mergeCell ref="B16:D17"/>
    <mergeCell ref="E14:F14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5"/>
  <sheetViews>
    <sheetView workbookViewId="0">
      <selection activeCell="B5" sqref="B5"/>
    </sheetView>
  </sheetViews>
  <sheetFormatPr baseColWidth="10" defaultRowHeight="15" x14ac:dyDescent="0.25"/>
  <cols>
    <col min="1" max="1" width="10.7109375" style="4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95" t="s">
        <v>12</v>
      </c>
      <c r="B1" s="95"/>
      <c r="C1" s="95"/>
      <c r="D1" s="95"/>
      <c r="E1" s="95"/>
      <c r="F1" s="95"/>
      <c r="G1" s="21"/>
    </row>
    <row r="2" spans="1:7" x14ac:dyDescent="0.25">
      <c r="A2" s="95"/>
      <c r="B2" s="95"/>
      <c r="C2" s="95"/>
      <c r="D2" s="95"/>
      <c r="E2" s="95"/>
      <c r="F2" s="95"/>
      <c r="G2" s="21"/>
    </row>
    <row r="3" spans="1:7" x14ac:dyDescent="0.25">
      <c r="A3" s="95"/>
      <c r="B3" s="95"/>
      <c r="C3" s="95"/>
      <c r="D3" s="95"/>
      <c r="E3" s="95"/>
      <c r="F3" s="95"/>
      <c r="G3" s="21"/>
    </row>
    <row r="4" spans="1:7" ht="15.75" customHeight="1" x14ac:dyDescent="0.25">
      <c r="A4" s="4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5">
        <f ca="1">TODAY()</f>
        <v>44795</v>
      </c>
      <c r="B5" s="46"/>
      <c r="C5" s="46"/>
      <c r="D5" s="47"/>
      <c r="E5" s="47"/>
      <c r="F5" s="48"/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55"/>
  <sheetViews>
    <sheetView zoomScale="90" zoomScaleNormal="90"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A33" sqref="A33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8" bestFit="1" customWidth="1"/>
    <col min="4" max="4" width="12.5703125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98" t="s">
        <v>16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ht="15" customHeight="1" x14ac:dyDescent="0.25">
      <c r="A2" s="98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x14ac:dyDescent="0.25">
      <c r="A3" s="100" t="s">
        <v>17</v>
      </c>
      <c r="B3" s="100" t="s">
        <v>18</v>
      </c>
      <c r="C3" s="104" t="s">
        <v>20</v>
      </c>
      <c r="D3" s="104" t="s">
        <v>19</v>
      </c>
      <c r="E3" s="101" t="s">
        <v>80</v>
      </c>
      <c r="F3" s="102"/>
      <c r="G3" s="102"/>
      <c r="H3" s="102"/>
      <c r="I3" s="103"/>
      <c r="J3" s="96" t="s">
        <v>81</v>
      </c>
      <c r="K3" s="97"/>
      <c r="L3" s="97"/>
      <c r="M3" s="97"/>
      <c r="N3" s="97"/>
    </row>
    <row r="4" spans="1:14" x14ac:dyDescent="0.25">
      <c r="A4" s="100"/>
      <c r="B4" s="100"/>
      <c r="C4" s="104"/>
      <c r="D4" s="104"/>
      <c r="E4" s="22">
        <v>6</v>
      </c>
      <c r="F4" s="22">
        <v>8</v>
      </c>
      <c r="G4" s="22">
        <v>10</v>
      </c>
      <c r="H4" s="22">
        <v>12</v>
      </c>
      <c r="I4" s="42">
        <v>14</v>
      </c>
      <c r="J4" s="42" t="s">
        <v>84</v>
      </c>
      <c r="K4" s="42" t="s">
        <v>68</v>
      </c>
      <c r="L4" s="42" t="s">
        <v>69</v>
      </c>
      <c r="M4" s="42" t="s">
        <v>70</v>
      </c>
      <c r="N4" s="42" t="s">
        <v>71</v>
      </c>
    </row>
    <row r="5" spans="1:14" x14ac:dyDescent="0.25">
      <c r="A5" s="50" t="s">
        <v>56</v>
      </c>
      <c r="B5" s="51" t="s">
        <v>57</v>
      </c>
      <c r="C5" s="51" t="s">
        <v>58</v>
      </c>
      <c r="D5" s="51" t="s">
        <v>59</v>
      </c>
      <c r="E5" s="50" t="s">
        <v>60</v>
      </c>
      <c r="F5" s="50" t="s">
        <v>61</v>
      </c>
      <c r="G5" s="50" t="s">
        <v>62</v>
      </c>
      <c r="H5" s="50" t="s">
        <v>63</v>
      </c>
      <c r="I5" s="50" t="s">
        <v>64</v>
      </c>
      <c r="J5" s="53" t="s">
        <v>75</v>
      </c>
      <c r="K5" s="54" t="s">
        <v>72</v>
      </c>
      <c r="L5" s="54" t="s">
        <v>73</v>
      </c>
      <c r="M5" s="55" t="s">
        <v>74</v>
      </c>
      <c r="N5" s="57" t="s">
        <v>86</v>
      </c>
    </row>
    <row r="6" spans="1:14" x14ac:dyDescent="0.25">
      <c r="A6" s="23" t="s">
        <v>42</v>
      </c>
      <c r="B6" s="26" t="s">
        <v>23</v>
      </c>
      <c r="C6" s="52">
        <v>85000</v>
      </c>
      <c r="D6" s="52">
        <v>140000</v>
      </c>
      <c r="E6" s="58">
        <v>1</v>
      </c>
      <c r="F6" s="58">
        <v>1</v>
      </c>
      <c r="G6" s="58">
        <v>1</v>
      </c>
      <c r="H6" s="58">
        <v>1</v>
      </c>
      <c r="I6" s="59">
        <v>0</v>
      </c>
      <c r="J6" s="58" t="s">
        <v>76</v>
      </c>
      <c r="K6" s="58" t="s">
        <v>76</v>
      </c>
      <c r="L6" s="58" t="s">
        <v>76</v>
      </c>
      <c r="M6" s="58" t="s">
        <v>76</v>
      </c>
      <c r="N6" s="58" t="s">
        <v>76</v>
      </c>
    </row>
    <row r="7" spans="1:14" x14ac:dyDescent="0.25">
      <c r="A7" s="24" t="s">
        <v>36</v>
      </c>
      <c r="B7" s="26" t="s">
        <v>23</v>
      </c>
      <c r="C7" s="52">
        <v>85000</v>
      </c>
      <c r="D7" s="52">
        <v>140000</v>
      </c>
      <c r="E7" s="59">
        <v>1</v>
      </c>
      <c r="F7" s="59">
        <v>1</v>
      </c>
      <c r="G7" s="59">
        <v>1</v>
      </c>
      <c r="H7" s="59">
        <v>0</v>
      </c>
      <c r="I7" s="59">
        <v>0</v>
      </c>
      <c r="J7" s="58" t="s">
        <v>76</v>
      </c>
      <c r="K7" s="58" t="s">
        <v>76</v>
      </c>
      <c r="L7" s="58" t="s">
        <v>76</v>
      </c>
      <c r="M7" s="58" t="s">
        <v>76</v>
      </c>
      <c r="N7" s="58" t="s">
        <v>76</v>
      </c>
    </row>
    <row r="8" spans="1:14" x14ac:dyDescent="0.25">
      <c r="A8" s="24" t="s">
        <v>34</v>
      </c>
      <c r="B8" s="26" t="s">
        <v>23</v>
      </c>
      <c r="C8" s="52">
        <v>85000</v>
      </c>
      <c r="D8" s="52">
        <v>140000</v>
      </c>
      <c r="E8" s="59">
        <v>0</v>
      </c>
      <c r="F8" s="59">
        <v>1</v>
      </c>
      <c r="G8" s="59">
        <v>1</v>
      </c>
      <c r="H8" s="59">
        <v>0</v>
      </c>
      <c r="I8" s="59">
        <v>0</v>
      </c>
      <c r="J8" s="58" t="s">
        <v>76</v>
      </c>
      <c r="K8" s="58" t="s">
        <v>76</v>
      </c>
      <c r="L8" s="58" t="s">
        <v>76</v>
      </c>
      <c r="M8" s="58" t="s">
        <v>76</v>
      </c>
      <c r="N8" s="58" t="s">
        <v>76</v>
      </c>
    </row>
    <row r="9" spans="1:14" x14ac:dyDescent="0.25">
      <c r="A9" s="25" t="s">
        <v>35</v>
      </c>
      <c r="B9" s="26" t="s">
        <v>23</v>
      </c>
      <c r="C9" s="52">
        <v>85000</v>
      </c>
      <c r="D9" s="52">
        <v>140000</v>
      </c>
      <c r="E9" s="56">
        <v>1</v>
      </c>
      <c r="F9" s="56">
        <v>0</v>
      </c>
      <c r="G9" s="56">
        <v>0</v>
      </c>
      <c r="H9" s="56">
        <v>1</v>
      </c>
      <c r="I9" s="59">
        <v>0</v>
      </c>
      <c r="J9" s="58" t="s">
        <v>76</v>
      </c>
      <c r="K9" s="58" t="s">
        <v>76</v>
      </c>
      <c r="L9" s="58" t="s">
        <v>76</v>
      </c>
      <c r="M9" s="58" t="s">
        <v>76</v>
      </c>
      <c r="N9" s="58" t="s">
        <v>76</v>
      </c>
    </row>
    <row r="10" spans="1:14" x14ac:dyDescent="0.25">
      <c r="A10" s="25" t="s">
        <v>49</v>
      </c>
      <c r="B10" s="26" t="s">
        <v>23</v>
      </c>
      <c r="C10" s="52">
        <v>85000</v>
      </c>
      <c r="D10" s="52">
        <v>140000</v>
      </c>
      <c r="E10" s="56">
        <v>0</v>
      </c>
      <c r="F10" s="56">
        <v>2</v>
      </c>
      <c r="G10" s="56">
        <v>0</v>
      </c>
      <c r="H10" s="56">
        <v>0</v>
      </c>
      <c r="I10" s="59">
        <v>0</v>
      </c>
      <c r="J10" s="58" t="s">
        <v>76</v>
      </c>
      <c r="K10" s="58" t="s">
        <v>76</v>
      </c>
      <c r="L10" s="58" t="s">
        <v>76</v>
      </c>
      <c r="M10" s="58" t="s">
        <v>76</v>
      </c>
      <c r="N10" s="58" t="s">
        <v>76</v>
      </c>
    </row>
    <row r="11" spans="1:14" x14ac:dyDescent="0.25">
      <c r="A11" s="24" t="s">
        <v>50</v>
      </c>
      <c r="B11" s="26" t="s">
        <v>23</v>
      </c>
      <c r="C11" s="52">
        <v>85000</v>
      </c>
      <c r="D11" s="52">
        <v>140000</v>
      </c>
      <c r="E11" s="59">
        <v>0</v>
      </c>
      <c r="F11" s="59">
        <v>0</v>
      </c>
      <c r="G11" s="59">
        <v>1</v>
      </c>
      <c r="H11" s="59">
        <v>1</v>
      </c>
      <c r="I11" s="59">
        <v>0</v>
      </c>
      <c r="J11" s="58" t="s">
        <v>76</v>
      </c>
      <c r="K11" s="58" t="s">
        <v>76</v>
      </c>
      <c r="L11" s="58" t="s">
        <v>76</v>
      </c>
      <c r="M11" s="58" t="s">
        <v>76</v>
      </c>
      <c r="N11" s="58" t="s">
        <v>76</v>
      </c>
    </row>
    <row r="12" spans="1:14" x14ac:dyDescent="0.25">
      <c r="A12" s="24" t="s">
        <v>51</v>
      </c>
      <c r="B12" s="26" t="s">
        <v>23</v>
      </c>
      <c r="C12" s="52">
        <v>85000</v>
      </c>
      <c r="D12" s="52">
        <v>140000</v>
      </c>
      <c r="E12" s="59">
        <v>0</v>
      </c>
      <c r="F12" s="59">
        <v>1</v>
      </c>
      <c r="G12" s="59">
        <v>1</v>
      </c>
      <c r="H12" s="56">
        <v>0</v>
      </c>
      <c r="I12" s="59">
        <v>0</v>
      </c>
      <c r="J12" s="58" t="s">
        <v>76</v>
      </c>
      <c r="K12" s="58" t="s">
        <v>76</v>
      </c>
      <c r="L12" s="58" t="s">
        <v>76</v>
      </c>
      <c r="M12" s="58" t="s">
        <v>76</v>
      </c>
      <c r="N12" s="58" t="s">
        <v>76</v>
      </c>
    </row>
    <row r="13" spans="1:14" x14ac:dyDescent="0.25">
      <c r="A13" s="25" t="s">
        <v>52</v>
      </c>
      <c r="B13" s="26" t="s">
        <v>23</v>
      </c>
      <c r="C13" s="52">
        <v>85000</v>
      </c>
      <c r="D13" s="52">
        <v>140000</v>
      </c>
      <c r="E13" s="56">
        <v>1</v>
      </c>
      <c r="F13" s="56">
        <v>0</v>
      </c>
      <c r="G13" s="56">
        <v>0</v>
      </c>
      <c r="H13" s="56">
        <v>1</v>
      </c>
      <c r="I13" s="56">
        <v>1</v>
      </c>
      <c r="J13" s="58" t="s">
        <v>76</v>
      </c>
      <c r="K13" s="58" t="s">
        <v>76</v>
      </c>
      <c r="L13" s="58" t="s">
        <v>76</v>
      </c>
      <c r="M13" s="58" t="s">
        <v>76</v>
      </c>
      <c r="N13" s="58" t="s">
        <v>76</v>
      </c>
    </row>
    <row r="14" spans="1:14" x14ac:dyDescent="0.25">
      <c r="A14" s="25" t="s">
        <v>39</v>
      </c>
      <c r="B14" s="26" t="s">
        <v>23</v>
      </c>
      <c r="C14" s="52">
        <v>85000</v>
      </c>
      <c r="D14" s="52">
        <v>140000</v>
      </c>
      <c r="E14" s="56">
        <v>1</v>
      </c>
      <c r="F14" s="56">
        <v>1</v>
      </c>
      <c r="G14" s="56">
        <v>1</v>
      </c>
      <c r="H14" s="56">
        <v>1</v>
      </c>
      <c r="I14" s="56">
        <v>1</v>
      </c>
      <c r="J14" s="58" t="s">
        <v>76</v>
      </c>
      <c r="K14" s="58" t="s">
        <v>76</v>
      </c>
      <c r="L14" s="58" t="s">
        <v>76</v>
      </c>
      <c r="M14" s="58" t="s">
        <v>76</v>
      </c>
      <c r="N14" s="58" t="s">
        <v>76</v>
      </c>
    </row>
    <row r="15" spans="1:14" x14ac:dyDescent="0.25">
      <c r="A15" s="25" t="s">
        <v>47</v>
      </c>
      <c r="B15" s="26" t="s">
        <v>23</v>
      </c>
      <c r="C15" s="52">
        <v>85000</v>
      </c>
      <c r="D15" s="52">
        <v>140000</v>
      </c>
      <c r="E15" s="56">
        <v>0</v>
      </c>
      <c r="F15" s="56">
        <v>0</v>
      </c>
      <c r="G15" s="56">
        <v>0</v>
      </c>
      <c r="H15" s="56">
        <v>1</v>
      </c>
      <c r="I15" s="56">
        <v>1</v>
      </c>
      <c r="J15" s="58" t="s">
        <v>76</v>
      </c>
      <c r="K15" s="58" t="s">
        <v>76</v>
      </c>
      <c r="L15" s="58" t="s">
        <v>76</v>
      </c>
      <c r="M15" s="58" t="s">
        <v>76</v>
      </c>
      <c r="N15" s="58" t="s">
        <v>76</v>
      </c>
    </row>
    <row r="16" spans="1:14" x14ac:dyDescent="0.25">
      <c r="A16" s="25" t="s">
        <v>46</v>
      </c>
      <c r="B16" s="26" t="s">
        <v>23</v>
      </c>
      <c r="C16" s="52">
        <v>85000</v>
      </c>
      <c r="D16" s="52">
        <v>140000</v>
      </c>
      <c r="E16" s="56">
        <v>0</v>
      </c>
      <c r="F16" s="56">
        <v>1</v>
      </c>
      <c r="G16" s="56">
        <v>1</v>
      </c>
      <c r="H16" s="56">
        <v>0</v>
      </c>
      <c r="I16" s="56">
        <v>0</v>
      </c>
      <c r="J16" s="58" t="s">
        <v>76</v>
      </c>
      <c r="K16" s="58" t="s">
        <v>76</v>
      </c>
      <c r="L16" s="58" t="s">
        <v>76</v>
      </c>
      <c r="M16" s="58" t="s">
        <v>76</v>
      </c>
      <c r="N16" s="58" t="s">
        <v>76</v>
      </c>
    </row>
    <row r="17" spans="1:14" x14ac:dyDescent="0.25">
      <c r="A17" s="24" t="s">
        <v>48</v>
      </c>
      <c r="B17" s="26" t="s">
        <v>23</v>
      </c>
      <c r="C17" s="52">
        <v>85000</v>
      </c>
      <c r="D17" s="52">
        <v>140000</v>
      </c>
      <c r="E17" s="59">
        <v>0</v>
      </c>
      <c r="F17" s="59">
        <v>1</v>
      </c>
      <c r="G17" s="59">
        <v>1</v>
      </c>
      <c r="H17" s="56">
        <v>1</v>
      </c>
      <c r="I17" s="59">
        <v>0</v>
      </c>
      <c r="J17" s="58" t="s">
        <v>76</v>
      </c>
      <c r="K17" s="58" t="s">
        <v>76</v>
      </c>
      <c r="L17" s="58" t="s">
        <v>76</v>
      </c>
      <c r="M17" s="58" t="s">
        <v>76</v>
      </c>
      <c r="N17" s="58" t="s">
        <v>76</v>
      </c>
    </row>
    <row r="18" spans="1:14" x14ac:dyDescent="0.25">
      <c r="A18" s="25" t="s">
        <v>55</v>
      </c>
      <c r="B18" s="26" t="s">
        <v>23</v>
      </c>
      <c r="C18" s="52">
        <v>85000</v>
      </c>
      <c r="D18" s="52">
        <v>140000</v>
      </c>
      <c r="E18" s="56">
        <v>1</v>
      </c>
      <c r="F18" s="56">
        <v>1</v>
      </c>
      <c r="G18" s="56">
        <v>1</v>
      </c>
      <c r="H18" s="56">
        <v>1</v>
      </c>
      <c r="I18" s="56">
        <v>0</v>
      </c>
      <c r="J18" s="58" t="s">
        <v>76</v>
      </c>
      <c r="K18" s="58" t="s">
        <v>76</v>
      </c>
      <c r="L18" s="58" t="s">
        <v>76</v>
      </c>
      <c r="M18" s="58" t="s">
        <v>76</v>
      </c>
      <c r="N18" s="58" t="s">
        <v>76</v>
      </c>
    </row>
    <row r="19" spans="1:14" x14ac:dyDescent="0.25">
      <c r="A19" s="24" t="s">
        <v>43</v>
      </c>
      <c r="B19" s="26" t="s">
        <v>23</v>
      </c>
      <c r="C19" s="52">
        <v>85000</v>
      </c>
      <c r="D19" s="52">
        <v>140000</v>
      </c>
      <c r="E19" s="59">
        <v>1</v>
      </c>
      <c r="F19" s="59">
        <v>1</v>
      </c>
      <c r="G19" s="59">
        <v>1</v>
      </c>
      <c r="H19" s="56">
        <v>1</v>
      </c>
      <c r="I19" s="59">
        <v>0</v>
      </c>
      <c r="J19" s="58" t="s">
        <v>76</v>
      </c>
      <c r="K19" s="58" t="s">
        <v>76</v>
      </c>
      <c r="L19" s="58" t="s">
        <v>76</v>
      </c>
      <c r="M19" s="58" t="s">
        <v>76</v>
      </c>
      <c r="N19" s="58" t="s">
        <v>76</v>
      </c>
    </row>
    <row r="20" spans="1:14" x14ac:dyDescent="0.25">
      <c r="A20" s="25" t="s">
        <v>53</v>
      </c>
      <c r="B20" s="26" t="s">
        <v>23</v>
      </c>
      <c r="C20" s="52">
        <v>85000</v>
      </c>
      <c r="D20" s="52">
        <v>140000</v>
      </c>
      <c r="E20" s="56">
        <v>1</v>
      </c>
      <c r="F20" s="56">
        <v>1</v>
      </c>
      <c r="G20" s="56">
        <v>1</v>
      </c>
      <c r="H20" s="56">
        <v>1</v>
      </c>
      <c r="I20" s="56">
        <v>1</v>
      </c>
      <c r="J20" s="58" t="s">
        <v>76</v>
      </c>
      <c r="K20" s="58" t="s">
        <v>76</v>
      </c>
      <c r="L20" s="58" t="s">
        <v>76</v>
      </c>
      <c r="M20" s="58" t="s">
        <v>76</v>
      </c>
      <c r="N20" s="58" t="s">
        <v>76</v>
      </c>
    </row>
    <row r="21" spans="1:14" x14ac:dyDescent="0.25">
      <c r="A21" s="25" t="s">
        <v>40</v>
      </c>
      <c r="B21" s="26" t="s">
        <v>23</v>
      </c>
      <c r="C21" s="52">
        <v>85000</v>
      </c>
      <c r="D21" s="52">
        <v>140000</v>
      </c>
      <c r="E21" s="56">
        <v>0</v>
      </c>
      <c r="F21" s="56">
        <v>1</v>
      </c>
      <c r="G21" s="56">
        <v>1</v>
      </c>
      <c r="H21" s="56">
        <v>1</v>
      </c>
      <c r="I21" s="56">
        <v>0</v>
      </c>
      <c r="J21" s="58" t="s">
        <v>76</v>
      </c>
      <c r="K21" s="58" t="s">
        <v>76</v>
      </c>
      <c r="L21" s="58" t="s">
        <v>76</v>
      </c>
      <c r="M21" s="58" t="s">
        <v>76</v>
      </c>
      <c r="N21" s="58" t="s">
        <v>76</v>
      </c>
    </row>
    <row r="22" spans="1:14" x14ac:dyDescent="0.25">
      <c r="A22" s="25" t="s">
        <v>54</v>
      </c>
      <c r="B22" s="26" t="s">
        <v>23</v>
      </c>
      <c r="C22" s="52">
        <v>85000</v>
      </c>
      <c r="D22" s="52">
        <v>140000</v>
      </c>
      <c r="E22" s="56">
        <v>1</v>
      </c>
      <c r="F22" s="56">
        <v>1</v>
      </c>
      <c r="G22" s="56">
        <v>1</v>
      </c>
      <c r="H22" s="56">
        <v>0</v>
      </c>
      <c r="I22" s="56">
        <v>0</v>
      </c>
      <c r="J22" s="58" t="s">
        <v>76</v>
      </c>
      <c r="K22" s="58" t="s">
        <v>76</v>
      </c>
      <c r="L22" s="58" t="s">
        <v>76</v>
      </c>
      <c r="M22" s="58" t="s">
        <v>76</v>
      </c>
      <c r="N22" s="58" t="s">
        <v>76</v>
      </c>
    </row>
    <row r="23" spans="1:14" x14ac:dyDescent="0.25">
      <c r="A23" s="25" t="s">
        <v>44</v>
      </c>
      <c r="B23" s="26" t="s">
        <v>23</v>
      </c>
      <c r="C23" s="52">
        <v>85000</v>
      </c>
      <c r="D23" s="52">
        <v>140000</v>
      </c>
      <c r="E23" s="56">
        <v>1</v>
      </c>
      <c r="F23" s="56">
        <v>1</v>
      </c>
      <c r="G23" s="56">
        <v>1</v>
      </c>
      <c r="H23" s="56">
        <v>1</v>
      </c>
      <c r="I23" s="56">
        <v>0</v>
      </c>
      <c r="J23" s="58" t="s">
        <v>76</v>
      </c>
      <c r="K23" s="58" t="s">
        <v>76</v>
      </c>
      <c r="L23" s="58" t="s">
        <v>76</v>
      </c>
      <c r="M23" s="58" t="s">
        <v>76</v>
      </c>
      <c r="N23" s="58" t="s">
        <v>76</v>
      </c>
    </row>
    <row r="24" spans="1:14" x14ac:dyDescent="0.25">
      <c r="A24" s="25" t="s">
        <v>32</v>
      </c>
      <c r="B24" s="26" t="s">
        <v>23</v>
      </c>
      <c r="C24" s="52">
        <v>85000</v>
      </c>
      <c r="D24" s="52">
        <v>140000</v>
      </c>
      <c r="E24" s="56">
        <v>0</v>
      </c>
      <c r="F24" s="56">
        <v>1</v>
      </c>
      <c r="G24" s="56">
        <v>0</v>
      </c>
      <c r="H24" s="56">
        <v>0</v>
      </c>
      <c r="I24" s="56">
        <v>0</v>
      </c>
      <c r="J24" s="58" t="s">
        <v>76</v>
      </c>
      <c r="K24" s="58" t="s">
        <v>76</v>
      </c>
      <c r="L24" s="58" t="s">
        <v>76</v>
      </c>
      <c r="M24" s="58" t="s">
        <v>76</v>
      </c>
      <c r="N24" s="58" t="s">
        <v>76</v>
      </c>
    </row>
    <row r="25" spans="1:14" x14ac:dyDescent="0.25">
      <c r="A25" s="25" t="s">
        <v>33</v>
      </c>
      <c r="B25" s="26" t="s">
        <v>23</v>
      </c>
      <c r="C25" s="52">
        <v>85000</v>
      </c>
      <c r="D25" s="52">
        <v>140000</v>
      </c>
      <c r="E25" s="56">
        <v>1</v>
      </c>
      <c r="F25" s="56">
        <v>0</v>
      </c>
      <c r="G25" s="56">
        <v>1</v>
      </c>
      <c r="H25" s="56">
        <v>1</v>
      </c>
      <c r="I25" s="56">
        <v>0</v>
      </c>
      <c r="J25" s="58" t="s">
        <v>76</v>
      </c>
      <c r="K25" s="58" t="s">
        <v>76</v>
      </c>
      <c r="L25" s="58" t="s">
        <v>76</v>
      </c>
      <c r="M25" s="58" t="s">
        <v>76</v>
      </c>
      <c r="N25" s="58" t="s">
        <v>76</v>
      </c>
    </row>
    <row r="26" spans="1:14" x14ac:dyDescent="0.25">
      <c r="A26" s="25" t="s">
        <v>37</v>
      </c>
      <c r="B26" s="26" t="s">
        <v>23</v>
      </c>
      <c r="C26" s="52">
        <v>85000</v>
      </c>
      <c r="D26" s="52">
        <v>140000</v>
      </c>
      <c r="E26" s="56">
        <v>0</v>
      </c>
      <c r="F26" s="56">
        <v>1</v>
      </c>
      <c r="G26" s="56">
        <v>0</v>
      </c>
      <c r="H26" s="56">
        <v>1</v>
      </c>
      <c r="I26" s="56">
        <v>1</v>
      </c>
      <c r="J26" s="58" t="s">
        <v>76</v>
      </c>
      <c r="K26" s="58" t="s">
        <v>76</v>
      </c>
      <c r="L26" s="58" t="s">
        <v>76</v>
      </c>
      <c r="M26" s="58" t="s">
        <v>76</v>
      </c>
      <c r="N26" s="58" t="s">
        <v>76</v>
      </c>
    </row>
    <row r="27" spans="1:14" x14ac:dyDescent="0.25">
      <c r="A27" s="25" t="s">
        <v>38</v>
      </c>
      <c r="B27" s="26" t="s">
        <v>23</v>
      </c>
      <c r="C27" s="52">
        <v>85000</v>
      </c>
      <c r="D27" s="52">
        <v>140000</v>
      </c>
      <c r="E27" s="56">
        <v>1</v>
      </c>
      <c r="F27" s="56">
        <v>0</v>
      </c>
      <c r="G27" s="56">
        <v>1</v>
      </c>
      <c r="H27" s="56">
        <v>0</v>
      </c>
      <c r="I27" s="56">
        <v>0</v>
      </c>
      <c r="J27" s="58" t="s">
        <v>76</v>
      </c>
      <c r="K27" s="58" t="s">
        <v>76</v>
      </c>
      <c r="L27" s="58" t="s">
        <v>76</v>
      </c>
      <c r="M27" s="58" t="s">
        <v>76</v>
      </c>
      <c r="N27" s="58" t="s">
        <v>76</v>
      </c>
    </row>
    <row r="28" spans="1:14" x14ac:dyDescent="0.25">
      <c r="A28" s="25" t="s">
        <v>21</v>
      </c>
      <c r="B28" s="26" t="s">
        <v>23</v>
      </c>
      <c r="C28" s="52">
        <v>85000</v>
      </c>
      <c r="D28" s="52">
        <v>140000</v>
      </c>
      <c r="E28" s="56">
        <v>0</v>
      </c>
      <c r="F28" s="56">
        <v>1</v>
      </c>
      <c r="G28" s="56">
        <v>1</v>
      </c>
      <c r="H28" s="56">
        <v>1</v>
      </c>
      <c r="I28" s="56">
        <v>0</v>
      </c>
      <c r="J28" s="58" t="s">
        <v>76</v>
      </c>
      <c r="K28" s="58" t="s">
        <v>76</v>
      </c>
      <c r="L28" s="58" t="s">
        <v>76</v>
      </c>
      <c r="M28" s="58" t="s">
        <v>76</v>
      </c>
      <c r="N28" s="58" t="s">
        <v>76</v>
      </c>
    </row>
    <row r="29" spans="1:14" x14ac:dyDescent="0.25">
      <c r="A29" s="25" t="s">
        <v>45</v>
      </c>
      <c r="B29" s="26" t="s">
        <v>23</v>
      </c>
      <c r="C29" s="52">
        <v>85000</v>
      </c>
      <c r="D29" s="52">
        <v>140000</v>
      </c>
      <c r="E29" s="56">
        <v>1</v>
      </c>
      <c r="F29" s="56">
        <v>0</v>
      </c>
      <c r="G29" s="56">
        <v>0</v>
      </c>
      <c r="H29" s="56">
        <v>0</v>
      </c>
      <c r="I29" s="56">
        <v>0</v>
      </c>
      <c r="J29" s="58" t="s">
        <v>76</v>
      </c>
      <c r="K29" s="58" t="s">
        <v>76</v>
      </c>
      <c r="L29" s="58" t="s">
        <v>76</v>
      </c>
      <c r="M29" s="58" t="s">
        <v>76</v>
      </c>
      <c r="N29" s="58" t="s">
        <v>76</v>
      </c>
    </row>
    <row r="30" spans="1:14" x14ac:dyDescent="0.25">
      <c r="A30" s="25" t="s">
        <v>22</v>
      </c>
      <c r="B30" s="26" t="s">
        <v>23</v>
      </c>
      <c r="C30" s="52">
        <v>85000</v>
      </c>
      <c r="D30" s="52">
        <v>140000</v>
      </c>
      <c r="E30" s="56">
        <v>0</v>
      </c>
      <c r="F30" s="56">
        <v>1</v>
      </c>
      <c r="G30" s="56">
        <v>0</v>
      </c>
      <c r="H30" s="56">
        <v>0</v>
      </c>
      <c r="I30" s="56">
        <v>0</v>
      </c>
      <c r="J30" s="58" t="s">
        <v>76</v>
      </c>
      <c r="K30" s="58" t="s">
        <v>76</v>
      </c>
      <c r="L30" s="58" t="s">
        <v>76</v>
      </c>
      <c r="M30" s="58" t="s">
        <v>76</v>
      </c>
      <c r="N30" s="58" t="s">
        <v>76</v>
      </c>
    </row>
    <row r="31" spans="1:14" x14ac:dyDescent="0.25">
      <c r="A31" s="25" t="s">
        <v>41</v>
      </c>
      <c r="B31" s="26" t="s">
        <v>23</v>
      </c>
      <c r="C31" s="52">
        <v>85000</v>
      </c>
      <c r="D31" s="52">
        <v>140000</v>
      </c>
      <c r="E31" s="56">
        <v>1</v>
      </c>
      <c r="F31" s="56">
        <v>0</v>
      </c>
      <c r="G31" s="56">
        <v>1</v>
      </c>
      <c r="H31" s="56">
        <v>1</v>
      </c>
      <c r="I31" s="56">
        <v>1</v>
      </c>
      <c r="J31" s="58" t="s">
        <v>76</v>
      </c>
      <c r="K31" s="58" t="s">
        <v>76</v>
      </c>
      <c r="L31" s="58" t="s">
        <v>76</v>
      </c>
      <c r="M31" s="58" t="s">
        <v>76</v>
      </c>
      <c r="N31" s="58" t="s">
        <v>76</v>
      </c>
    </row>
    <row r="32" spans="1:14" x14ac:dyDescent="0.25">
      <c r="A32" s="25" t="s">
        <v>65</v>
      </c>
      <c r="B32" s="26" t="s">
        <v>23</v>
      </c>
      <c r="C32" s="52">
        <v>85000</v>
      </c>
      <c r="D32" s="52">
        <v>140000</v>
      </c>
      <c r="E32" s="56">
        <v>0</v>
      </c>
      <c r="F32" s="56">
        <v>1</v>
      </c>
      <c r="G32" s="56">
        <v>1</v>
      </c>
      <c r="H32" s="56">
        <v>0</v>
      </c>
      <c r="I32" s="56">
        <v>0</v>
      </c>
      <c r="J32" s="58" t="s">
        <v>76</v>
      </c>
      <c r="K32" s="58" t="s">
        <v>76</v>
      </c>
      <c r="L32" s="58" t="s">
        <v>76</v>
      </c>
      <c r="M32" s="58" t="s">
        <v>76</v>
      </c>
      <c r="N32" s="58" t="s">
        <v>76</v>
      </c>
    </row>
    <row r="33" spans="1:14" x14ac:dyDescent="0.25">
      <c r="A33" s="25" t="s">
        <v>66</v>
      </c>
      <c r="B33" s="26" t="s">
        <v>23</v>
      </c>
      <c r="C33" s="52">
        <v>85000</v>
      </c>
      <c r="D33" s="52">
        <v>140000</v>
      </c>
      <c r="E33" s="56">
        <v>1</v>
      </c>
      <c r="F33" s="56">
        <v>0</v>
      </c>
      <c r="G33" s="56">
        <v>0</v>
      </c>
      <c r="H33" s="56">
        <v>1</v>
      </c>
      <c r="I33" s="56">
        <v>1</v>
      </c>
      <c r="J33" s="58" t="s">
        <v>76</v>
      </c>
      <c r="K33" s="58" t="s">
        <v>76</v>
      </c>
      <c r="L33" s="58" t="s">
        <v>76</v>
      </c>
      <c r="M33" s="58" t="s">
        <v>76</v>
      </c>
      <c r="N33" s="58" t="s">
        <v>76</v>
      </c>
    </row>
    <row r="34" spans="1:14" x14ac:dyDescent="0.25">
      <c r="A34" s="25" t="s">
        <v>67</v>
      </c>
      <c r="B34" s="26" t="s">
        <v>77</v>
      </c>
      <c r="C34" s="27">
        <v>65000</v>
      </c>
      <c r="D34" s="27">
        <v>109000</v>
      </c>
      <c r="E34" s="56" t="s">
        <v>76</v>
      </c>
      <c r="F34" s="56" t="s">
        <v>76</v>
      </c>
      <c r="G34" s="56" t="s">
        <v>76</v>
      </c>
      <c r="H34" s="56" t="s">
        <v>76</v>
      </c>
      <c r="I34" s="56" t="s">
        <v>76</v>
      </c>
      <c r="J34" s="59">
        <v>0</v>
      </c>
      <c r="K34" s="59">
        <v>2</v>
      </c>
      <c r="L34" s="59">
        <v>1</v>
      </c>
      <c r="M34" s="59">
        <v>0</v>
      </c>
      <c r="N34" s="59">
        <v>0</v>
      </c>
    </row>
    <row r="35" spans="1:14" x14ac:dyDescent="0.25">
      <c r="A35" s="25" t="s">
        <v>78</v>
      </c>
      <c r="B35" s="26" t="s">
        <v>88</v>
      </c>
      <c r="C35" s="27">
        <v>65000</v>
      </c>
      <c r="D35" s="27">
        <v>109000</v>
      </c>
      <c r="E35" s="56" t="s">
        <v>76</v>
      </c>
      <c r="F35" s="56" t="s">
        <v>76</v>
      </c>
      <c r="G35" s="56" t="s">
        <v>76</v>
      </c>
      <c r="H35" s="56" t="s">
        <v>76</v>
      </c>
      <c r="I35" s="56" t="s">
        <v>76</v>
      </c>
      <c r="J35" s="59">
        <v>0</v>
      </c>
      <c r="K35" s="59">
        <v>2</v>
      </c>
      <c r="L35" s="59">
        <v>1</v>
      </c>
      <c r="M35" s="59">
        <v>0</v>
      </c>
      <c r="N35" s="56">
        <v>0</v>
      </c>
    </row>
    <row r="36" spans="1:14" x14ac:dyDescent="0.25">
      <c r="A36" s="25" t="s">
        <v>79</v>
      </c>
      <c r="B36" s="26" t="s">
        <v>77</v>
      </c>
      <c r="C36" s="27">
        <v>65000</v>
      </c>
      <c r="D36" s="27">
        <v>109000</v>
      </c>
      <c r="E36" s="56" t="s">
        <v>76</v>
      </c>
      <c r="F36" s="56" t="s">
        <v>76</v>
      </c>
      <c r="G36" s="56" t="s">
        <v>76</v>
      </c>
      <c r="H36" s="56" t="s">
        <v>76</v>
      </c>
      <c r="I36" s="56" t="s">
        <v>76</v>
      </c>
      <c r="J36" s="59">
        <v>0</v>
      </c>
      <c r="K36" s="59">
        <v>2</v>
      </c>
      <c r="L36" s="59">
        <v>1</v>
      </c>
      <c r="M36" s="59">
        <v>0</v>
      </c>
      <c r="N36" s="56">
        <v>0</v>
      </c>
    </row>
    <row r="37" spans="1:14" x14ac:dyDescent="0.25">
      <c r="A37" s="25" t="s">
        <v>82</v>
      </c>
      <c r="B37" s="26" t="s">
        <v>77</v>
      </c>
      <c r="C37" s="27">
        <v>65000</v>
      </c>
      <c r="D37" s="27">
        <v>109000</v>
      </c>
      <c r="E37" s="56" t="s">
        <v>76</v>
      </c>
      <c r="F37" s="56" t="s">
        <v>76</v>
      </c>
      <c r="G37" s="56" t="s">
        <v>76</v>
      </c>
      <c r="H37" s="56" t="s">
        <v>76</v>
      </c>
      <c r="I37" s="56" t="s">
        <v>76</v>
      </c>
      <c r="J37" s="59">
        <v>0</v>
      </c>
      <c r="K37" s="59">
        <v>1</v>
      </c>
      <c r="L37" s="59">
        <v>1</v>
      </c>
      <c r="M37" s="59">
        <v>0</v>
      </c>
      <c r="N37" s="56">
        <v>0</v>
      </c>
    </row>
    <row r="38" spans="1:14" x14ac:dyDescent="0.25">
      <c r="A38" s="25" t="s">
        <v>83</v>
      </c>
      <c r="B38" s="26" t="s">
        <v>77</v>
      </c>
      <c r="C38" s="27">
        <v>50000</v>
      </c>
      <c r="D38" s="27">
        <v>110000</v>
      </c>
      <c r="E38" s="56" t="s">
        <v>76</v>
      </c>
      <c r="F38" s="56" t="s">
        <v>76</v>
      </c>
      <c r="G38" s="56" t="s">
        <v>76</v>
      </c>
      <c r="H38" s="56" t="s">
        <v>76</v>
      </c>
      <c r="I38" s="56" t="s">
        <v>76</v>
      </c>
      <c r="J38" s="59">
        <v>0</v>
      </c>
      <c r="K38" s="59">
        <v>1</v>
      </c>
      <c r="L38" s="59">
        <v>1</v>
      </c>
      <c r="M38" s="59">
        <v>2</v>
      </c>
      <c r="N38" s="56">
        <v>0</v>
      </c>
    </row>
    <row r="39" spans="1:14" x14ac:dyDescent="0.25">
      <c r="A39" s="25" t="s">
        <v>85</v>
      </c>
      <c r="B39" s="26" t="s">
        <v>77</v>
      </c>
      <c r="C39" s="27">
        <v>74000</v>
      </c>
      <c r="D39" s="27">
        <v>114000</v>
      </c>
      <c r="E39" s="56" t="s">
        <v>76</v>
      </c>
      <c r="F39" s="56" t="s">
        <v>76</v>
      </c>
      <c r="G39" s="56" t="s">
        <v>76</v>
      </c>
      <c r="H39" s="56" t="s">
        <v>76</v>
      </c>
      <c r="I39" s="56" t="s">
        <v>76</v>
      </c>
      <c r="J39" s="56">
        <v>2</v>
      </c>
      <c r="K39" s="56">
        <v>0</v>
      </c>
      <c r="L39" s="56">
        <v>0</v>
      </c>
      <c r="M39" s="56">
        <v>0</v>
      </c>
      <c r="N39" s="56">
        <v>0</v>
      </c>
    </row>
    <row r="40" spans="1:14" x14ac:dyDescent="0.25">
      <c r="A40" s="25" t="s">
        <v>89</v>
      </c>
      <c r="B40" s="26" t="s">
        <v>91</v>
      </c>
      <c r="C40" s="27">
        <v>30000</v>
      </c>
      <c r="D40" s="27">
        <v>68000</v>
      </c>
      <c r="E40" s="56" t="s">
        <v>76</v>
      </c>
      <c r="F40" s="56" t="s">
        <v>76</v>
      </c>
      <c r="G40" s="56" t="s">
        <v>76</v>
      </c>
      <c r="H40" s="56" t="s">
        <v>76</v>
      </c>
      <c r="I40" s="56" t="s">
        <v>76</v>
      </c>
      <c r="J40" s="56">
        <v>3</v>
      </c>
      <c r="K40" s="56">
        <v>0</v>
      </c>
      <c r="L40" s="56">
        <v>0</v>
      </c>
      <c r="M40" s="56">
        <v>0</v>
      </c>
      <c r="N40" s="56">
        <v>0</v>
      </c>
    </row>
    <row r="41" spans="1:14" x14ac:dyDescent="0.25">
      <c r="A41" s="25" t="s">
        <v>90</v>
      </c>
      <c r="B41" s="26" t="s">
        <v>87</v>
      </c>
      <c r="C41" s="27">
        <v>20000</v>
      </c>
      <c r="D41" s="27">
        <v>45000</v>
      </c>
      <c r="E41" s="56" t="s">
        <v>76</v>
      </c>
      <c r="F41" s="56" t="s">
        <v>76</v>
      </c>
      <c r="G41" s="56" t="s">
        <v>76</v>
      </c>
      <c r="H41" s="56" t="s">
        <v>76</v>
      </c>
      <c r="I41" s="56" t="s">
        <v>76</v>
      </c>
      <c r="J41" s="56">
        <v>0</v>
      </c>
      <c r="K41" s="56">
        <v>1</v>
      </c>
      <c r="L41" s="56">
        <v>1</v>
      </c>
      <c r="M41" s="56">
        <v>1</v>
      </c>
      <c r="N41" s="56">
        <v>0</v>
      </c>
    </row>
    <row r="42" spans="1:14" x14ac:dyDescent="0.25">
      <c r="A42" s="25" t="s">
        <v>92</v>
      </c>
      <c r="B42" s="26" t="s">
        <v>87</v>
      </c>
      <c r="C42" s="27">
        <v>20000</v>
      </c>
      <c r="D42" s="27">
        <v>45000</v>
      </c>
      <c r="E42" s="56" t="s">
        <v>76</v>
      </c>
      <c r="F42" s="56" t="s">
        <v>76</v>
      </c>
      <c r="G42" s="56" t="s">
        <v>76</v>
      </c>
      <c r="H42" s="56" t="s">
        <v>76</v>
      </c>
      <c r="I42" s="56" t="s">
        <v>76</v>
      </c>
      <c r="J42" s="56">
        <v>0</v>
      </c>
      <c r="K42" s="56">
        <v>1</v>
      </c>
      <c r="L42" s="56">
        <v>1</v>
      </c>
      <c r="M42" s="56">
        <v>1</v>
      </c>
      <c r="N42" s="56">
        <v>0</v>
      </c>
    </row>
    <row r="43" spans="1:14" x14ac:dyDescent="0.25">
      <c r="A43" s="25" t="s">
        <v>93</v>
      </c>
      <c r="B43" s="26" t="s">
        <v>87</v>
      </c>
      <c r="C43" s="27">
        <v>20000</v>
      </c>
      <c r="D43" s="27">
        <v>45000</v>
      </c>
      <c r="E43" s="56" t="s">
        <v>76</v>
      </c>
      <c r="F43" s="56" t="s">
        <v>76</v>
      </c>
      <c r="G43" s="56" t="s">
        <v>76</v>
      </c>
      <c r="H43" s="56" t="s">
        <v>76</v>
      </c>
      <c r="I43" s="56" t="s">
        <v>76</v>
      </c>
      <c r="J43" s="56">
        <v>0</v>
      </c>
      <c r="K43" s="56">
        <v>1</v>
      </c>
      <c r="L43" s="56">
        <v>1</v>
      </c>
      <c r="M43" s="56">
        <v>1</v>
      </c>
      <c r="N43" s="56">
        <v>0</v>
      </c>
    </row>
    <row r="44" spans="1:14" x14ac:dyDescent="0.25">
      <c r="A44" s="25" t="s">
        <v>95</v>
      </c>
      <c r="B44" s="26" t="s">
        <v>94</v>
      </c>
      <c r="C44" s="27">
        <v>80000</v>
      </c>
      <c r="D44" s="27">
        <v>180000</v>
      </c>
      <c r="E44" s="56"/>
      <c r="F44" s="56"/>
      <c r="G44" s="56"/>
      <c r="H44" s="56"/>
      <c r="I44" s="56"/>
      <c r="J44" s="56">
        <v>2</v>
      </c>
      <c r="K44" s="56">
        <v>0</v>
      </c>
      <c r="L44" s="56">
        <v>0</v>
      </c>
      <c r="M44" s="56">
        <v>0</v>
      </c>
      <c r="N44" s="56">
        <v>0</v>
      </c>
    </row>
    <row r="45" spans="1:14" x14ac:dyDescent="0.25">
      <c r="A45" s="25" t="s">
        <v>96</v>
      </c>
      <c r="B45" s="26" t="s">
        <v>97</v>
      </c>
      <c r="C45" s="27">
        <v>48000</v>
      </c>
      <c r="D45" s="27">
        <v>115000</v>
      </c>
      <c r="E45" s="56">
        <v>1</v>
      </c>
      <c r="F45" s="56">
        <v>2</v>
      </c>
      <c r="G45" s="56">
        <v>2</v>
      </c>
      <c r="H45" s="56">
        <v>0</v>
      </c>
      <c r="I45" s="56">
        <v>0</v>
      </c>
      <c r="J45" s="56" t="s">
        <v>76</v>
      </c>
      <c r="K45" s="56" t="s">
        <v>76</v>
      </c>
      <c r="L45" s="56" t="s">
        <v>76</v>
      </c>
      <c r="M45" s="56" t="s">
        <v>76</v>
      </c>
      <c r="N45" s="56" t="s">
        <v>76</v>
      </c>
    </row>
    <row r="46" spans="1:14" x14ac:dyDescent="0.25">
      <c r="A46" s="25" t="s">
        <v>98</v>
      </c>
      <c r="B46" s="26" t="s">
        <v>97</v>
      </c>
      <c r="C46" s="27">
        <v>45000</v>
      </c>
      <c r="D46" s="27">
        <v>110000</v>
      </c>
      <c r="E46" s="56" t="s">
        <v>76</v>
      </c>
      <c r="F46" s="56" t="s">
        <v>76</v>
      </c>
      <c r="G46" s="56" t="s">
        <v>76</v>
      </c>
      <c r="H46" s="56" t="s">
        <v>76</v>
      </c>
      <c r="I46" s="56" t="s">
        <v>76</v>
      </c>
      <c r="J46" s="56">
        <v>0</v>
      </c>
      <c r="K46" s="56">
        <v>1</v>
      </c>
      <c r="L46" s="56">
        <v>2</v>
      </c>
      <c r="M46" s="56">
        <v>2</v>
      </c>
      <c r="N46" s="56">
        <v>0</v>
      </c>
    </row>
    <row r="47" spans="1:14" x14ac:dyDescent="0.25">
      <c r="A47" s="25" t="s">
        <v>99</v>
      </c>
      <c r="B47" s="26" t="s">
        <v>97</v>
      </c>
      <c r="C47" s="27">
        <v>45000</v>
      </c>
      <c r="D47" s="27">
        <v>115000</v>
      </c>
      <c r="E47" s="56" t="s">
        <v>76</v>
      </c>
      <c r="F47" s="56" t="s">
        <v>76</v>
      </c>
      <c r="G47" s="56" t="s">
        <v>76</v>
      </c>
      <c r="H47" s="56" t="s">
        <v>76</v>
      </c>
      <c r="I47" s="56" t="s">
        <v>76</v>
      </c>
      <c r="J47" s="56">
        <v>0</v>
      </c>
      <c r="K47" s="56">
        <v>0</v>
      </c>
      <c r="L47" s="56">
        <v>1</v>
      </c>
      <c r="M47" s="56">
        <v>2</v>
      </c>
      <c r="N47" s="56">
        <v>0</v>
      </c>
    </row>
    <row r="48" spans="1:14" x14ac:dyDescent="0.25">
      <c r="A48" s="25" t="s">
        <v>100</v>
      </c>
      <c r="B48" s="26" t="s">
        <v>97</v>
      </c>
      <c r="C48" s="27">
        <v>45000</v>
      </c>
      <c r="D48" s="27">
        <v>115000</v>
      </c>
      <c r="E48" s="56" t="s">
        <v>76</v>
      </c>
      <c r="F48" s="56" t="s">
        <v>76</v>
      </c>
      <c r="G48" s="56" t="s">
        <v>76</v>
      </c>
      <c r="H48" s="56" t="s">
        <v>76</v>
      </c>
      <c r="I48" s="56" t="s">
        <v>76</v>
      </c>
      <c r="J48" s="56">
        <v>0</v>
      </c>
      <c r="K48" s="56">
        <v>0</v>
      </c>
      <c r="L48" s="56">
        <v>1</v>
      </c>
      <c r="M48" s="56">
        <v>2</v>
      </c>
      <c r="N48" s="56">
        <v>0</v>
      </c>
    </row>
    <row r="49" spans="1:14" x14ac:dyDescent="0.25">
      <c r="A49" s="25" t="s">
        <v>101</v>
      </c>
      <c r="B49" s="26" t="s">
        <v>97</v>
      </c>
      <c r="C49" s="27">
        <v>45000</v>
      </c>
      <c r="D49" s="27">
        <v>115000</v>
      </c>
      <c r="E49" s="56" t="s">
        <v>76</v>
      </c>
      <c r="F49" s="56" t="s">
        <v>76</v>
      </c>
      <c r="G49" s="56" t="s">
        <v>76</v>
      </c>
      <c r="H49" s="56" t="s">
        <v>76</v>
      </c>
      <c r="I49" s="56" t="s">
        <v>76</v>
      </c>
      <c r="J49" s="56">
        <v>0</v>
      </c>
      <c r="K49" s="56">
        <v>0</v>
      </c>
      <c r="L49" s="56">
        <v>1</v>
      </c>
      <c r="M49" s="56">
        <v>2</v>
      </c>
      <c r="N49" s="56">
        <v>0</v>
      </c>
    </row>
    <row r="50" spans="1:14" x14ac:dyDescent="0.25">
      <c r="A50" s="25" t="s">
        <v>102</v>
      </c>
      <c r="B50" s="26" t="s">
        <v>97</v>
      </c>
      <c r="C50" s="27">
        <v>45000</v>
      </c>
      <c r="D50" s="27">
        <v>115000</v>
      </c>
      <c r="E50" s="56" t="s">
        <v>76</v>
      </c>
      <c r="F50" s="56" t="s">
        <v>76</v>
      </c>
      <c r="G50" s="56" t="s">
        <v>76</v>
      </c>
      <c r="H50" s="56" t="s">
        <v>76</v>
      </c>
      <c r="I50" s="56" t="s">
        <v>76</v>
      </c>
      <c r="J50" s="56">
        <v>0</v>
      </c>
      <c r="K50" s="56">
        <v>0</v>
      </c>
      <c r="L50" s="56">
        <v>1</v>
      </c>
      <c r="M50" s="56">
        <v>2</v>
      </c>
      <c r="N50" s="56">
        <v>0</v>
      </c>
    </row>
    <row r="51" spans="1:14" x14ac:dyDescent="0.25">
      <c r="A51" s="25" t="s">
        <v>103</v>
      </c>
      <c r="B51" s="26" t="s">
        <v>104</v>
      </c>
      <c r="C51" s="27"/>
      <c r="D51" s="27"/>
      <c r="E51" s="56" t="s">
        <v>76</v>
      </c>
      <c r="F51" s="56" t="s">
        <v>76</v>
      </c>
      <c r="G51" s="56" t="s">
        <v>76</v>
      </c>
      <c r="H51" s="56" t="s">
        <v>76</v>
      </c>
      <c r="I51" s="56" t="s">
        <v>76</v>
      </c>
      <c r="J51" s="56">
        <v>4</v>
      </c>
      <c r="K51" s="56">
        <v>0</v>
      </c>
      <c r="L51" s="56">
        <v>0</v>
      </c>
      <c r="M51" s="56">
        <v>0</v>
      </c>
      <c r="N51" s="56">
        <v>0</v>
      </c>
    </row>
    <row r="52" spans="1:14" x14ac:dyDescent="0.25">
      <c r="A52" s="25" t="s">
        <v>105</v>
      </c>
      <c r="B52" s="26" t="s">
        <v>106</v>
      </c>
      <c r="C52" s="27"/>
      <c r="D52" s="27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1:14" x14ac:dyDescent="0.25">
      <c r="A53" s="26" t="s">
        <v>107</v>
      </c>
      <c r="B53" s="26"/>
      <c r="C53" s="27"/>
      <c r="D53" s="27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1:14" x14ac:dyDescent="0.25">
      <c r="A54" s="25" t="s">
        <v>108</v>
      </c>
      <c r="B54" s="26"/>
      <c r="C54" s="27"/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1:14" x14ac:dyDescent="0.25">
      <c r="A55" s="25"/>
      <c r="B55" s="26"/>
      <c r="C55" s="27"/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93" t="s">
        <v>5</v>
      </c>
      <c r="B1" s="93"/>
      <c r="C1" s="93"/>
      <c r="D1" s="93"/>
      <c r="E1" s="93"/>
      <c r="F1" s="3"/>
      <c r="G1" s="3"/>
    </row>
    <row r="2" spans="1:7" x14ac:dyDescent="0.25">
      <c r="A2" s="93"/>
      <c r="B2" s="93"/>
      <c r="C2" s="93"/>
      <c r="D2" s="93"/>
      <c r="E2" s="93"/>
      <c r="F2" s="3"/>
      <c r="G2" s="3"/>
    </row>
    <row r="3" spans="1:7" x14ac:dyDescent="0.25">
      <c r="A3" s="94"/>
      <c r="B3" s="94"/>
      <c r="C3" s="94"/>
      <c r="D3" s="94"/>
      <c r="E3" s="94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Ventas</vt:lpstr>
      <vt:lpstr>Mercancia </vt:lpstr>
      <vt:lpstr>Factura</vt:lpstr>
      <vt:lpstr>Clientes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2022-08-22T22:53:29Z</dcterms:modified>
</cp:coreProperties>
</file>