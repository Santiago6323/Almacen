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F96C9063-F1AF-4CCE-B64C-2324BC13EDA8}" xr6:coauthVersionLast="47" xr6:coauthVersionMax="47" xr10:uidLastSave="{00000000-0000-0000-0000-000000000000}"/>
  <bookViews>
    <workbookView xWindow="1530" yWindow="1470" windowWidth="15315" windowHeight="7875" activeTab="5" xr2:uid="{DD005084-A307-4D97-9190-19BD1DB91A43}"/>
  </bookViews>
  <sheets>
    <sheet name="Principal" sheetId="1" r:id="rId1"/>
    <sheet name="Ventas" sheetId="2" r:id="rId2"/>
    <sheet name="Mercancia" sheetId="4" r:id="rId3"/>
    <sheet name="Factura" sheetId="5" r:id="rId4"/>
    <sheet name="Clientes" sheetId="3" r:id="rId5"/>
    <sheet name="Hoja1" sheetId="7" r:id="rId6"/>
  </sheets>
  <definedNames>
    <definedName name="_xlnm._FilterDatabase" localSheetId="2" hidden="1">Mercancia!$A$3:$D$4</definedName>
    <definedName name="Tabla_inv">Inventario[#All]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G3" i="7" s="1"/>
  <c r="E9" i="1"/>
  <c r="L19" i="1"/>
  <c r="K19" i="1"/>
  <c r="J19" i="1"/>
  <c r="I19" i="1"/>
  <c r="H19" i="1"/>
  <c r="L16" i="1"/>
  <c r="K16" i="1"/>
  <c r="J16" i="1"/>
  <c r="I16" i="1"/>
  <c r="H16" i="1"/>
  <c r="J11" i="1" a="1"/>
  <c r="J11" i="1"/>
  <c r="A17" i="1"/>
  <c r="A19" i="1"/>
  <c r="A5" i="2"/>
  <c r="A11" i="1"/>
  <c r="E11" i="1"/>
  <c r="G11" i="1"/>
  <c r="H9" i="1"/>
  <c r="G15" i="1"/>
  <c r="G17" i="1" s="1"/>
  <c r="E15" i="1"/>
  <c r="G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691598-AE98-4F40-A56E-146A7EDB4836}" keepAlive="1" name="Consulta - Registro" description="Conexión a la consulta 'Registro' en el libro." type="5" refreshedVersion="0" background="1">
    <dbPr connection="Provider=Microsoft.Mashup.OleDb.1;Data Source=$Workbook$;Location=Registro;Extended Properties=&quot;&quot;" command="SELECT * FROM [Registr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<sst xmlns="http://schemas.openxmlformats.org/spreadsheetml/2006/main" count="403" uniqueCount="114">
  <si>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</si>
  <si>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</si>
  <si>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</si>
  <si>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</si>
  <si>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</si>
  <si>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</si>
  <si>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</si>
  <si>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</si>
  <si>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</si>
  <si>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</si>
  <si>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</si>
  <si>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</si>
  <si>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</si>
  <si>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</si>
  <si>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</si>
  <si>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</si>
  <si>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</si>
  <si>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</si>
  <si>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</si>
  <si>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</si>
  <si>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</si>
  <si>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NADELLA</t>
  </si>
  <si>
    <t>PAMIR</t>
  </si>
  <si>
    <t>JEAN DAMA REL MODA</t>
  </si>
  <si>
    <t>DESCRIPCION</t>
  </si>
  <si>
    <t>PRECIO</t>
  </si>
  <si>
    <t>DESCUENTO</t>
  </si>
  <si>
    <t>VALOR</t>
  </si>
  <si>
    <t>TALLAS</t>
  </si>
  <si>
    <t>CUPON</t>
  </si>
  <si>
    <t>TALLA</t>
  </si>
  <si>
    <t>FECHA</t>
  </si>
  <si>
    <t>KORAB</t>
  </si>
  <si>
    <t>KORABB</t>
  </si>
  <si>
    <t>FEALAFANI</t>
  </si>
  <si>
    <t>FEALAFANIB</t>
  </si>
  <si>
    <t>COROPUNAB</t>
  </si>
  <si>
    <t>MANDATHA</t>
  </si>
  <si>
    <t>MANDATHAB</t>
  </si>
  <si>
    <t>JD220103</t>
  </si>
  <si>
    <t>JD220134</t>
  </si>
  <si>
    <t>PAMIRB</t>
  </si>
  <si>
    <t>BGD220104</t>
  </si>
  <si>
    <t>JPD220102</t>
  </si>
  <si>
    <t>KAILASH</t>
  </si>
  <si>
    <t>NADELLAB</t>
  </si>
  <si>
    <t>JD220105B</t>
  </si>
  <si>
    <t>JD220105</t>
  </si>
  <si>
    <t>JD220119</t>
  </si>
  <si>
    <t>FITZ</t>
  </si>
  <si>
    <t>FITZB</t>
  </si>
  <si>
    <t>JANNU</t>
  </si>
  <si>
    <t>JANNUB</t>
  </si>
  <si>
    <t>JPD220104</t>
  </si>
  <si>
    <t>JPD220141</t>
  </si>
  <si>
    <t>JD220143</t>
  </si>
  <si>
    <t>Columna1</t>
  </si>
  <si>
    <t>Columna2</t>
  </si>
  <si>
    <t>Columna3</t>
  </si>
  <si>
    <t>Columna4</t>
  </si>
  <si>
    <t>Columna5</t>
  </si>
  <si>
    <t>Columna6</t>
  </si>
  <si>
    <t>Columna7</t>
  </si>
  <si>
    <t>Columna9</t>
  </si>
  <si>
    <t>Columna8</t>
  </si>
  <si>
    <t>SALTORO</t>
  </si>
  <si>
    <t>SALTOROB</t>
  </si>
  <si>
    <t>BD220131</t>
  </si>
  <si>
    <t>S</t>
  </si>
  <si>
    <t>M</t>
  </si>
  <si>
    <t>L</t>
  </si>
  <si>
    <t>XL</t>
  </si>
  <si>
    <t>Columna10</t>
  </si>
  <si>
    <t>Columna11</t>
  </si>
  <si>
    <t>Columna12</t>
  </si>
  <si>
    <t>Columna92</t>
  </si>
  <si>
    <t>-</t>
  </si>
  <si>
    <t xml:space="preserve">CAMISA DAMA </t>
  </si>
  <si>
    <t>BD220116</t>
  </si>
  <si>
    <t>BD220210</t>
  </si>
  <si>
    <t>TALLAS/PANTALON</t>
  </si>
  <si>
    <t>TALLAS/CAMISA</t>
  </si>
  <si>
    <t>BD220108</t>
  </si>
  <si>
    <t>SATIN</t>
  </si>
  <si>
    <t>U</t>
  </si>
  <si>
    <t>OJALILLO</t>
  </si>
  <si>
    <t>Columna13</t>
  </si>
  <si>
    <t>CAMISETAS DAMA</t>
  </si>
  <si>
    <t>CAMIS DAMA</t>
  </si>
  <si>
    <t>CUELLO ALTO</t>
  </si>
  <si>
    <t>CUELLO REDONDO</t>
  </si>
  <si>
    <t xml:space="preserve">CAMISETAS DAMA </t>
  </si>
  <si>
    <t>LOF</t>
  </si>
  <si>
    <t>MAKE</t>
  </si>
  <si>
    <t>FALDA DAMA</t>
  </si>
  <si>
    <t>FALDA RIP</t>
  </si>
  <si>
    <t>PANTALON BLANCO</t>
  </si>
  <si>
    <t>PANTALON DAMA</t>
  </si>
  <si>
    <t>PANTALON ENCERADO</t>
  </si>
  <si>
    <t>PANTALON CAFÉ</t>
  </si>
  <si>
    <t>PANTALON NARANJA</t>
  </si>
  <si>
    <t>PANTALON ROSA</t>
  </si>
  <si>
    <t>PANTALON VERDE</t>
  </si>
  <si>
    <t>LEÑADORA</t>
  </si>
  <si>
    <t xml:space="preserve">CHAQUETA DAMA </t>
  </si>
  <si>
    <t>SHORTS</t>
  </si>
  <si>
    <t>SHORTS DAMA</t>
  </si>
  <si>
    <t>ENTERISOZ</t>
  </si>
  <si>
    <t>CROPTOPS</t>
  </si>
  <si>
    <t>PRUEBA</t>
  </si>
  <si>
    <t>Fecha</t>
  </si>
  <si>
    <t>Hora inicio</t>
  </si>
  <si>
    <t>Hora final</t>
  </si>
  <si>
    <t>Horas trabajadas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</si>
</sst>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\ #,##0.00"/>
    <numFmt numFmtId="165" formatCode="[$-F400]h:mm:ss\ AM/PM"/>
    <numFmt numFmtId="166" formatCode="[$-F800]dddd\,\ mmmm\ dd\,\ yyyy"/>
    <numFmt numFmtId="167" formatCode="hh:mm:ss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17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4" xfId="0" applyNumberFormat="1" applyBorder="1"/>
    <xf numFmtId="164" fontId="0" fillId="0" borderId="0" xfId="0" applyNumberFormat="1"/>
    <xf numFmtId="0" fontId="7" fillId="0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4" fillId="0" borderId="6" xfId="0" applyNumberFormat="1" applyFont="1" applyFill="1" applyBorder="1" applyAlignment="1">
      <alignment horizontal="center" vertical="center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0" fontId="6" fillId="0" borderId="1" xfId="1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14" fontId="0" fillId="0" borderId="0" xfId="0" applyNumberFormat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8" fillId="3" borderId="0" xfId="0" applyFont="1" applyFill="1"/>
    <xf numFmtId="0" fontId="18" fillId="3" borderId="0" xfId="0" applyFont="1" applyFill="1" applyAlignment="1"/>
    <xf numFmtId="164" fontId="0" fillId="0" borderId="14" xfId="0" applyNumberFormat="1" applyBorder="1" applyAlignment="1"/>
    <xf numFmtId="0" fontId="18" fillId="3" borderId="10" xfId="0" applyFont="1" applyFill="1" applyBorder="1"/>
    <xf numFmtId="0" fontId="18" fillId="3" borderId="0" xfId="0" applyFont="1" applyFill="1" applyBorder="1"/>
    <xf numFmtId="0" fontId="18" fillId="3" borderId="11" xfId="0" applyFont="1" applyFill="1" applyBorder="1"/>
    <xf numFmtId="0" fontId="0" fillId="0" borderId="14" xfId="0" applyBorder="1" applyAlignment="1">
      <alignment horizontal="center" vertical="center"/>
    </xf>
    <xf numFmtId="0" fontId="18" fillId="3" borderId="15" xfId="0" applyFont="1" applyFill="1" applyBorder="1"/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0" xfId="0" applyNumberForma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14" fontId="14" fillId="0" borderId="1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fmlaLink="$H$18" lockText="1" noThreeD="1"/>
</file>

<file path=xl/ctrlProps/ctrlProp4.xml><?xml version="1.0" encoding="utf-8"?>
<formControlPr xmlns="http://schemas.microsoft.com/office/spreadsheetml/2009/9/main" objectType="CheckBox" fmlaLink="$I$18" lockText="1" noThreeD="1"/>
</file>

<file path=xl/ctrlProps/ctrlProp5.xml><?xml version="1.0" encoding="utf-8"?>
<formControlPr xmlns="http://schemas.microsoft.com/office/spreadsheetml/2009/9/main" objectType="CheckBox" fmlaLink="$J$18" lockText="1" noThreeD="1"/>
</file>

<file path=xl/ctrlProps/ctrlProp6.xml><?xml version="1.0" encoding="utf-8"?>
<formControlPr xmlns="http://schemas.microsoft.com/office/spreadsheetml/2009/9/main" objectType="CheckBox" fmlaLink="$J$15" lockText="1" noThreeD="1"/>
</file>

<file path=xl/ctrlProps/ctrlProp7.xml><?xml version="1.0" encoding="utf-8"?>
<formControlPr xmlns="http://schemas.microsoft.com/office/spreadsheetml/2009/9/main" objectType="CheckBox" fmlaLink="$K$18" lockText="1" noThreeD="1"/>
</file>

<file path=xl/ctrlProps/ctrlProp8.xml><?xml version="1.0" encoding="utf-8"?>
<formControlPr xmlns="http://schemas.microsoft.com/office/spreadsheetml/2009/9/main" objectType="CheckBox" fmlaLink="$K$15" lockText="1" noThreeD="1"/>
</file>

<file path=xl/ctrlProps/ctrlProp9.xml><?xml version="1.0" encoding="utf-8"?>
<formControlPr xmlns="http://schemas.microsoft.com/office/spreadsheetml/2009/9/main" objectType="CheckBox" fmlaLink="$L$18" lockText="1" noThreeD="1"/>
</file>

<file path=xl/ctrlProps/ctrlProp10.xml><?xml version="1.0" encoding="utf-8"?>
<formControlPr xmlns="http://schemas.microsoft.com/office/spreadsheetml/2009/9/main" objectType="CheckBox" checked="Checked" fmlaLink="$L$1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13</xdr:row>
          <xdr:rowOff>171450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16</xdr:row>
          <xdr:rowOff>180975</xdr:rowOff>
        </xdr:from>
        <xdr:to>
          <xdr:col>7</xdr:col>
          <xdr:colOff>609600</xdr:colOff>
          <xdr:row>18</xdr:row>
          <xdr:rowOff>28575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16</xdr:row>
          <xdr:rowOff>180975</xdr:rowOff>
        </xdr:from>
        <xdr:to>
          <xdr:col>8</xdr:col>
          <xdr:colOff>619125</xdr:colOff>
          <xdr:row>18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1666874</xdr:colOff>
      <xdr:row>8</xdr:row>
      <xdr:rowOff>180975</xdr:rowOff>
    </xdr:from>
    <xdr:to>
      <xdr:col>9</xdr:col>
      <xdr:colOff>9524</xdr:colOff>
      <xdr:row>10</xdr:row>
      <xdr:rowOff>180975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77224" y="180022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2000"/>
        </a:p>
      </xdr:txBody>
    </xdr:sp>
    <xdr:clientData/>
  </xdr:twoCellAnchor>
  <xdr:twoCellAnchor>
    <xdr:from>
      <xdr:col>5</xdr:col>
      <xdr:colOff>0</xdr:colOff>
      <xdr:row>21</xdr:row>
      <xdr:rowOff>0</xdr:rowOff>
    </xdr:from>
    <xdr:to>
      <xdr:col>5</xdr:col>
      <xdr:colOff>1390650</xdr:colOff>
      <xdr:row>22</xdr:row>
      <xdr:rowOff>171450</xdr:rowOff>
    </xdr:to>
    <xdr:sp macro="[0]!Realizar_vent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10175" y="5295900"/>
          <a:ext cx="13906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/>
            <a:t>REALIZAR VENTA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16</xdr:row>
          <xdr:rowOff>180975</xdr:rowOff>
        </xdr:from>
        <xdr:to>
          <xdr:col>9</xdr:col>
          <xdr:colOff>619125</xdr:colOff>
          <xdr:row>18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13</xdr:row>
          <xdr:rowOff>171450</xdr:rowOff>
        </xdr:from>
        <xdr:to>
          <xdr:col>9</xdr:col>
          <xdr:colOff>619125</xdr:colOff>
          <xdr:row>15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16</xdr:row>
          <xdr:rowOff>180975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13</xdr:row>
          <xdr:rowOff>171450</xdr:rowOff>
        </xdr:from>
        <xdr:to>
          <xdr:col>10</xdr:col>
          <xdr:colOff>619125</xdr:colOff>
          <xdr:row>15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16</xdr:row>
          <xdr:rowOff>180975</xdr:rowOff>
        </xdr:from>
        <xdr:to>
          <xdr:col>11</xdr:col>
          <xdr:colOff>619125</xdr:colOff>
          <xdr:row>18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13</xdr:row>
          <xdr:rowOff>171450</xdr:rowOff>
        </xdr:from>
        <xdr:to>
          <xdr:col>11</xdr:col>
          <xdr:colOff>619125</xdr:colOff>
          <xdr:row>15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323850</xdr:colOff>
      <xdr:row>56</xdr:row>
      <xdr:rowOff>152400</xdr:rowOff>
    </xdr:from>
    <xdr:to>
      <xdr:col>6</xdr:col>
      <xdr:colOff>1047750</xdr:colOff>
      <xdr:row>58</xdr:row>
      <xdr:rowOff>104775</xdr:rowOff>
    </xdr:to>
    <xdr:sp macro="[0]!Borrar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34200" y="4095750"/>
          <a:ext cx="7239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BORRAR	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67A53F-D790-4A1F-A26A-3592463B36D4}" name="Registro" displayName="Registro" ref="B20:F21" insertRow="1" totalsRowShown="0" headerRowDxfId="38" dataDxfId="37">
  <autoFilter ref="B20:F21" xr:uid="{3167A53F-D790-4A1F-A26A-3592463B36D4}"/>
  <tableColumns count="5">
    <tableColumn id="1" xr3:uid="{56E07A45-9666-4579-8537-B7140253445B}" name="CC/NIT" dataDxfId="36"/>
    <tableColumn id="2" xr3:uid="{4F116497-83A5-4F30-8BA7-80CBCE51158F}" name="REFERENCIA" dataDxfId="35"/>
    <tableColumn id="3" xr3:uid="{0487F26D-5DFC-4F43-B658-DD2FC7064FFE}" name="DESCRIPCION" dataDxfId="34"/>
    <tableColumn id="4" xr3:uid="{60645FC2-60CC-44F1-9E8F-61B1735C7140}" name="TALLA" dataDxfId="33"/>
    <tableColumn id="5" xr3:uid="{355B1800-1488-4707-94F8-0DC65DE2CCE3}" name="VALOR" dataDxfId="32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81B140-C285-46B0-B956-41326AD9F6B6}" name="Tabla_ventas" displayName="Tabla_ventas" ref="A4:F5" totalsRowShown="0" dataDxfId="31">
  <autoFilter ref="A4:F5" xr:uid="{F281B140-C285-46B0-B956-41326AD9F6B6}"/>
  <tableColumns count="6">
    <tableColumn id="1" xr3:uid="{B8D32094-D8D2-4AF1-BA81-A7DB9FB68831}" name="FECHA" dataDxfId="30">
      <calculatedColumnFormula>TODAY()</calculatedColumnFormula>
    </tableColumn>
    <tableColumn id="2" xr3:uid="{B5D660A0-7732-43BE-BD1C-2D1126F93BC4}" name="CC/NIT" dataDxfId="29"/>
    <tableColumn id="3" xr3:uid="{915F3635-95C4-4DC7-B234-E88FD3D738CB}" name="REFERENCIA" dataDxfId="28"/>
    <tableColumn id="4" xr3:uid="{3B020859-DE4F-4186-8B7F-7A5F579F4F7F}" name="DESCRIPCION" dataDxfId="27"/>
    <tableColumn id="5" xr3:uid="{1D56ECB3-1AFF-443D-A6AC-E4F6C52BC3C2}" name="TALLA" dataDxfId="26"/>
    <tableColumn id="6" xr3:uid="{30C70F64-C059-4790-BDC7-3AB704CF4B30}" name="PRECIO" dataDxfId="2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Inventario" displayName="Inventario" ref="A5:N55" totalsRowShown="0" headerRowDxfId="24" tableBorderDxfId="23" totalsRowBorderDxfId="22">
  <autoFilter ref="A5:N55" xr:uid="{3C30390D-F72D-4281-A751-D8C640A20C88}"/>
  <sortState xmlns:xlrd2="http://schemas.microsoft.com/office/spreadsheetml/2017/richdata2" ref="A6:I33">
    <sortCondition ref="A5:A33"/>
  </sortState>
  <tableColumns count="14">
    <tableColumn id="1" xr3:uid="{67D6C6F9-E77D-4C37-A36F-003308CF7711}" name="Columna1" dataDxfId="21"/>
    <tableColumn id="2" xr3:uid="{877C319A-5468-403B-A5BB-F002F089E802}" name="Columna2" dataDxfId="20"/>
    <tableColumn id="3" xr3:uid="{3B705014-0CD1-46F0-88E4-BC9D1F638CE5}" name="Columna3" dataDxfId="19"/>
    <tableColumn id="4" xr3:uid="{FDEC3CB2-2CC7-47AF-A5C3-D71D9671562A}" name="Columna4" dataDxfId="18"/>
    <tableColumn id="5" xr3:uid="{BEE6718A-9A4C-4B39-AD32-4C025E6E5276}" name="Columna5" dataDxfId="17"/>
    <tableColumn id="6" xr3:uid="{ACDE65F7-F5BE-46B7-9AAC-00A3C71B1D13}" name="Columna6" dataDxfId="16"/>
    <tableColumn id="7" xr3:uid="{CBCE114C-3BDF-4E85-9BC5-227BA6D03791}" name="Columna7" dataDxfId="15"/>
    <tableColumn id="9" xr3:uid="{21A98C46-9570-4E1A-B608-2D322DB5D3D5}" name="Columna9" dataDxfId="14"/>
    <tableColumn id="8" xr3:uid="{A765EAED-893F-4F9B-9C14-A5EE0F926620}" name="Columna8" dataDxfId="13"/>
    <tableColumn id="10" xr3:uid="{6BFDAE41-7DBA-4862-848D-2A39FBFDC4B3}" name="Columna92" dataDxfId="12"/>
    <tableColumn id="11" xr3:uid="{783F535B-9A74-4BA0-88A7-AF92F7BD0A50}" name="Columna10" dataDxfId="11"/>
    <tableColumn id="12" xr3:uid="{6353CE9D-5D60-422B-93BF-24115971D0A8}" name="Columna11" dataDxfId="10"/>
    <tableColumn id="13" xr3:uid="{89F6F846-171A-49BF-8068-FEE06A63C547}" name="Columna12" dataDxfId="9"/>
    <tableColumn id="14" xr3:uid="{E3A4DE12-CFC9-4759-A624-F0C02B9B2B1F}" name="Columna13" dataDxfId="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7" totalsRowShown="0" headerRowDxfId="7" dataDxfId="6" tableBorderDxfId="5">
  <autoFilter ref="A4:E7" xr:uid="{2031DEE6-4F1C-4BFE-8D3B-20AB408C4501}"/>
  <tableColumns count="5">
    <tableColumn id="1" xr3:uid="{77458FC3-DFD5-455C-A754-7AA60D17C61D}" name="CC/NIT" dataDxfId="4"/>
    <tableColumn id="2" xr3:uid="{98C798B5-9BC9-4679-8B1C-6D3EF13D137C}" name="NOMBRE COMPLETO" dataDxfId="3"/>
    <tableColumn id="3" xr3:uid="{B0D636E2-60DB-42C6-8A16-36CAAC8352A8}" name="CELULAR" dataDxfId="2"/>
    <tableColumn id="4" xr3:uid="{B232CA0C-2B06-4B55-9FF2-34755CB8C7B3}" name="CORREO ELECTRONICO" dataDxfId="1" dataCellStyle="Hipervínculo"/>
    <tableColumn id="5" xr3:uid="{D19A0E81-37E2-406A-83C1-5863FC399F9B}" name="FECHA DE NACIMIENT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hyperlink" Target="mailto:iqdsaz92@gmail.com" TargetMode="External"/><Relationship Id="rId1" Type="http://schemas.openxmlformats.org/officeDocument/2006/relationships/hyperlink" Target="mailto:Santiago.Alvarez17@udea.edu.co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L162"/>
  <sheetViews>
    <sheetView topLeftCell="A8" zoomScaleNormal="100" workbookViewId="0">
      <selection activeCell="B21" sqref="B21"/>
    </sheetView>
  </sheetViews>
  <sheetFormatPr baseColWidth="10" defaultRowHeight="15" x14ac:dyDescent="0.25"/>
  <cols>
    <col min="1" max="1" width="11.42578125" style="10"/>
    <col min="2" max="2" width="15.5703125" style="10" customWidth="1"/>
    <col min="3" max="3" width="16.5703125" style="10" customWidth="1"/>
    <col min="4" max="4" width="23.7109375" style="8" bestFit="1" customWidth="1"/>
    <col min="5" max="5" width="10.85546875" style="10" bestFit="1" customWidth="1"/>
    <col min="6" max="6" width="21" style="8" bestFit="1" customWidth="1"/>
    <col min="7" max="7" width="25" style="8" customWidth="1"/>
    <col min="8" max="8" width="11.85546875" style="10" bestFit="1" customWidth="1"/>
    <col min="9" max="9" width="12" style="10" customWidth="1"/>
    <col min="10" max="12" width="11.85546875" style="10" bestFit="1" customWidth="1"/>
    <col min="13" max="16384" width="11.42578125" style="10"/>
  </cols>
  <sheetData>
    <row r="1" spans="1:12" x14ac:dyDescent="0.25">
      <c r="A1" s="81"/>
      <c r="B1" s="82"/>
      <c r="C1" s="99" t="s">
        <v>0</v>
      </c>
      <c r="D1" s="100"/>
      <c r="E1" s="100"/>
      <c r="F1" s="100"/>
      <c r="G1" s="101"/>
    </row>
    <row r="2" spans="1:12" x14ac:dyDescent="0.25">
      <c r="A2" s="81"/>
      <c r="B2" s="82"/>
      <c r="C2" s="102"/>
      <c r="D2" s="103"/>
      <c r="E2" s="103"/>
      <c r="F2" s="103"/>
      <c r="G2" s="104"/>
    </row>
    <row r="3" spans="1:12" ht="18.75" customHeight="1" x14ac:dyDescent="0.25">
      <c r="A3" s="81"/>
      <c r="B3" s="82"/>
      <c r="C3" s="11" t="s">
        <v>1</v>
      </c>
      <c r="D3" s="40" t="s">
        <v>6</v>
      </c>
      <c r="E3" s="12" t="s">
        <v>2</v>
      </c>
      <c r="F3" s="32" t="s">
        <v>3</v>
      </c>
      <c r="G3" s="31" t="s">
        <v>4</v>
      </c>
      <c r="H3" s="13"/>
    </row>
    <row r="4" spans="1:12" ht="18.75" customHeight="1" x14ac:dyDescent="0.25">
      <c r="C4" s="14"/>
      <c r="D4" s="41"/>
      <c r="E4" s="14"/>
      <c r="F4" s="35"/>
      <c r="G4" s="7"/>
      <c r="H4" s="13"/>
    </row>
    <row r="5" spans="1:12" ht="15" customHeight="1" x14ac:dyDescent="0.25">
      <c r="F5" s="10"/>
      <c r="G5" s="10"/>
    </row>
    <row r="6" spans="1:12" ht="15" customHeight="1" x14ac:dyDescent="0.25">
      <c r="A6" s="39"/>
      <c r="B6" s="97" t="s">
        <v>12</v>
      </c>
      <c r="C6" s="97"/>
      <c r="D6" s="97"/>
      <c r="E6" s="97"/>
      <c r="F6" s="97"/>
      <c r="G6" s="97"/>
      <c r="H6" s="97"/>
      <c r="I6" s="97"/>
    </row>
    <row r="7" spans="1:12" ht="15" customHeight="1" x14ac:dyDescent="0.25">
      <c r="A7" s="43"/>
      <c r="B7" s="97"/>
      <c r="C7" s="97"/>
      <c r="D7" s="97"/>
      <c r="E7" s="97"/>
      <c r="F7" s="97"/>
      <c r="G7" s="97"/>
      <c r="H7" s="97"/>
      <c r="I7" s="97"/>
    </row>
    <row r="8" spans="1:12" ht="15" customHeight="1" x14ac:dyDescent="0.25">
      <c r="A8" s="43"/>
      <c r="B8" s="85" t="s">
        <v>1</v>
      </c>
      <c r="C8" s="86"/>
      <c r="D8" s="87"/>
      <c r="E8" s="83" t="s">
        <v>6</v>
      </c>
      <c r="F8" s="83"/>
      <c r="G8" s="33" t="s">
        <v>2</v>
      </c>
      <c r="H8" s="83" t="s">
        <v>31</v>
      </c>
      <c r="I8" s="83"/>
    </row>
    <row r="9" spans="1:12" ht="15" customHeight="1" x14ac:dyDescent="0.25">
      <c r="A9" s="43"/>
      <c r="B9" s="88"/>
      <c r="C9" s="89"/>
      <c r="D9" s="90"/>
      <c r="E9" s="76" t="str">
        <f>VLOOKUP(B10,Tabla_clientes[],2,FALSE)</f>
        <v>Santiago Alvarez Zuluaga</v>
      </c>
      <c r="F9" s="76"/>
      <c r="G9" s="36">
        <f>VLOOKUP(B10,Tabla_clientes[],3,FALSE)</f>
        <v>3127433689</v>
      </c>
      <c r="H9" s="84">
        <f ca="1">TODAY()</f>
        <v>44803</v>
      </c>
      <c r="I9" s="76"/>
    </row>
    <row r="10" spans="1:12" ht="15" customHeight="1" x14ac:dyDescent="0.25">
      <c r="A10" s="43"/>
      <c r="B10" s="91">
        <v>1000549667</v>
      </c>
      <c r="C10" s="92"/>
      <c r="D10" s="93"/>
      <c r="E10" s="83" t="s">
        <v>3</v>
      </c>
      <c r="F10" s="83"/>
      <c r="G10" s="33" t="s">
        <v>4</v>
      </c>
      <c r="H10" s="14"/>
      <c r="I10" s="14"/>
    </row>
    <row r="11" spans="1:12" ht="15" customHeight="1" x14ac:dyDescent="0.25">
      <c r="A11" s="38">
        <f>B10</f>
        <v>1000549667</v>
      </c>
      <c r="B11" s="94"/>
      <c r="C11" s="95"/>
      <c r="D11" s="96"/>
      <c r="E11" s="98" t="str">
        <f>VLOOKUP(B10,Tabla_clientes[],4,FALSE)</f>
        <v>Santiago.Alvarez17@udea.edu.co</v>
      </c>
      <c r="F11" s="98"/>
      <c r="G11" s="37">
        <f>VLOOKUP(B10,Tabla_clientes[],5,FALSE)</f>
        <v>36929</v>
      </c>
      <c r="H11" s="14"/>
      <c r="I11" s="14"/>
      <c r="J11" s="38" t="str" cm="1">
        <f t="array" ref="J11">_xlfn.IFS(H15=TRUE,"6",I15=TRUE,"8",J15=TRUE,"10",K15=TRUE,"12",L15=TRUE,"14",H18=TRUE,"U",I18=TRUE,"S",J18=TRUE,"M",K18=TRUE,"L",L18=TRUE,"XL")</f>
        <v>14</v>
      </c>
    </row>
    <row r="12" spans="1:12" ht="15" customHeight="1" x14ac:dyDescent="0.25">
      <c r="A12" s="38"/>
      <c r="B12" s="77" t="s">
        <v>14</v>
      </c>
      <c r="C12" s="77"/>
      <c r="D12" s="77"/>
      <c r="E12" s="77"/>
      <c r="F12" s="77"/>
      <c r="G12" s="77"/>
      <c r="H12" s="72" t="s">
        <v>28</v>
      </c>
      <c r="I12" s="73"/>
      <c r="J12" s="73"/>
      <c r="K12" s="73"/>
      <c r="L12" s="73"/>
    </row>
    <row r="13" spans="1:12" ht="13.5" customHeight="1" x14ac:dyDescent="0.25">
      <c r="A13" s="38"/>
      <c r="B13" s="77"/>
      <c r="C13" s="77"/>
      <c r="D13" s="77"/>
      <c r="E13" s="77"/>
      <c r="F13" s="77"/>
      <c r="G13" s="77"/>
      <c r="H13" s="74"/>
      <c r="I13" s="75"/>
      <c r="J13" s="75"/>
      <c r="K13" s="75"/>
      <c r="L13" s="75"/>
    </row>
    <row r="14" spans="1:12" ht="15" customHeight="1" x14ac:dyDescent="0.25">
      <c r="A14" s="38"/>
      <c r="B14" s="78" t="s">
        <v>15</v>
      </c>
      <c r="C14" s="78"/>
      <c r="D14" s="78"/>
      <c r="E14" s="80" t="s">
        <v>24</v>
      </c>
      <c r="F14" s="80"/>
      <c r="G14" s="67" t="s">
        <v>25</v>
      </c>
      <c r="H14" s="61">
        <v>6</v>
      </c>
      <c r="I14" s="61">
        <v>8</v>
      </c>
      <c r="J14" s="61">
        <v>10</v>
      </c>
      <c r="K14" s="61">
        <v>12</v>
      </c>
      <c r="L14" s="61">
        <v>14</v>
      </c>
    </row>
    <row r="15" spans="1:12" s="49" customFormat="1" ht="15" customHeight="1" x14ac:dyDescent="0.25">
      <c r="A15" s="38"/>
      <c r="B15" s="78"/>
      <c r="C15" s="78"/>
      <c r="D15" s="78"/>
      <c r="E15" s="76">
        <f>VLOOKUP(B16,Inventario[],2,FALSE)</f>
        <v>0</v>
      </c>
      <c r="F15" s="76"/>
      <c r="G15" s="30">
        <f>VLOOKUP(B16,Inventario[],4,FALSE)</f>
        <v>0</v>
      </c>
      <c r="H15" s="29" t="b">
        <v>0</v>
      </c>
      <c r="I15" s="29" t="b">
        <v>0</v>
      </c>
      <c r="J15" s="29" t="b">
        <v>0</v>
      </c>
      <c r="K15" s="29" t="b">
        <v>0</v>
      </c>
      <c r="L15" s="29" t="b">
        <v>1</v>
      </c>
    </row>
    <row r="16" spans="1:12" ht="15" customHeight="1" x14ac:dyDescent="0.25">
      <c r="A16" s="38"/>
      <c r="B16" s="79" t="s">
        <v>109</v>
      </c>
      <c r="C16" s="79"/>
      <c r="D16" s="79"/>
      <c r="E16" s="80" t="s">
        <v>26</v>
      </c>
      <c r="F16" s="80"/>
      <c r="G16" s="33" t="s">
        <v>27</v>
      </c>
      <c r="H16" s="68">
        <f>VLOOKUP($B$16,Inventario[],5,FALSE)</f>
        <v>1</v>
      </c>
      <c r="I16" s="68">
        <f>VLOOKUP($B$16,Inventario[],6,FALSE)</f>
        <v>0</v>
      </c>
      <c r="J16" s="68">
        <f>VLOOKUP($B$16,Inventario[],7,FALSE)</f>
        <v>1</v>
      </c>
      <c r="K16" s="68">
        <f>VLOOKUP($B$16,Inventario[],8,FALSE)</f>
        <v>1</v>
      </c>
      <c r="L16" s="68">
        <f>VLOOKUP($B$16,Inventario[],9,FALSE)</f>
        <v>0</v>
      </c>
    </row>
    <row r="17" spans="1:12" ht="15" customHeight="1" x14ac:dyDescent="0.25">
      <c r="A17" s="38" t="str">
        <f>B16</f>
        <v>PRUEBA</v>
      </c>
      <c r="B17" s="79"/>
      <c r="C17" s="79"/>
      <c r="D17" s="79"/>
      <c r="E17" s="34">
        <v>0</v>
      </c>
      <c r="F17" s="36" t="s">
        <v>29</v>
      </c>
      <c r="G17" s="30">
        <f>(G15-G15*E17)</f>
        <v>0</v>
      </c>
      <c r="H17" s="61" t="s">
        <v>84</v>
      </c>
      <c r="I17" s="61" t="s">
        <v>68</v>
      </c>
      <c r="J17" s="61" t="s">
        <v>69</v>
      </c>
      <c r="K17" s="61" t="s">
        <v>70</v>
      </c>
      <c r="L17" s="61" t="s">
        <v>71</v>
      </c>
    </row>
    <row r="18" spans="1:12" s="65" customFormat="1" ht="15" customHeight="1" x14ac:dyDescent="0.25">
      <c r="A18" s="63"/>
      <c r="B18" s="62"/>
      <c r="C18" s="62"/>
      <c r="D18" s="62"/>
      <c r="E18" s="64"/>
      <c r="F18" s="64"/>
      <c r="H18" s="29" t="b">
        <v>0</v>
      </c>
      <c r="I18" s="29"/>
      <c r="J18" s="29"/>
      <c r="K18" s="29"/>
      <c r="L18" s="29" t="b">
        <v>0</v>
      </c>
    </row>
    <row r="19" spans="1:12" s="65" customFormat="1" ht="15.75" customHeight="1" x14ac:dyDescent="0.25">
      <c r="A19" s="63" t="str">
        <f>B16</f>
        <v>PRUEBA</v>
      </c>
      <c r="B19" s="62"/>
      <c r="C19" s="62"/>
      <c r="D19" s="62"/>
      <c r="F19" s="66"/>
      <c r="G19" s="66"/>
      <c r="H19" s="68">
        <f>VLOOKUP($B$16,Inventario[],10,FALSE)</f>
        <v>1</v>
      </c>
      <c r="I19" s="68">
        <f>VLOOKUP($B$16,Inventario[],11,FALSE)</f>
        <v>1</v>
      </c>
      <c r="J19" s="68">
        <f>VLOOKUP($B$16,Inventario[],12,FALSE)</f>
        <v>1</v>
      </c>
      <c r="K19" s="68">
        <f>VLOOKUP($B$16,Inventario[],13,FALSE)</f>
        <v>1</v>
      </c>
      <c r="L19" s="68">
        <f>VLOOKUP($B$16,Inventario[],14,FALSE)</f>
        <v>1</v>
      </c>
    </row>
    <row r="20" spans="1:12" ht="15.75" customHeight="1" x14ac:dyDescent="0.25">
      <c r="B20" s="10" t="s">
        <v>1</v>
      </c>
      <c r="C20" s="10" t="s">
        <v>15</v>
      </c>
      <c r="D20" s="10" t="s">
        <v>24</v>
      </c>
      <c r="E20" s="8" t="s">
        <v>30</v>
      </c>
      <c r="F20" s="10" t="s">
        <v>27</v>
      </c>
      <c r="G20" s="10"/>
      <c r="H20" s="65"/>
      <c r="I20" s="65"/>
      <c r="J20" s="65"/>
      <c r="K20" s="65"/>
      <c r="L20" s="65"/>
    </row>
    <row r="21" spans="1:12" s="49" customFormat="1" ht="15.75" customHeight="1" x14ac:dyDescent="0.25">
      <c r="E21" s="8"/>
      <c r="H21" s="65"/>
      <c r="I21" s="65"/>
      <c r="J21" s="65"/>
      <c r="K21" s="65"/>
      <c r="L21" s="65"/>
    </row>
    <row r="22" spans="1:12" s="49" customFormat="1" ht="15.75" customHeight="1" x14ac:dyDescent="0.25">
      <c r="B22" s="10"/>
      <c r="C22" s="10"/>
      <c r="D22" s="8"/>
      <c r="E22" s="8"/>
      <c r="F22" s="10"/>
      <c r="H22" s="65"/>
      <c r="I22" s="65"/>
      <c r="J22" s="65"/>
      <c r="K22" s="65"/>
      <c r="L22" s="65"/>
    </row>
    <row r="23" spans="1:12" s="49" customFormat="1" ht="15.75" customHeight="1" x14ac:dyDescent="0.25">
      <c r="B23" s="10"/>
      <c r="C23" s="10"/>
      <c r="D23" s="8"/>
      <c r="E23" s="8"/>
      <c r="F23" s="10"/>
      <c r="H23" s="65"/>
      <c r="I23" s="65"/>
      <c r="J23" s="65"/>
      <c r="K23" s="65"/>
      <c r="L23" s="65"/>
    </row>
    <row r="24" spans="1:12" s="49" customFormat="1" ht="15.75" customHeight="1" x14ac:dyDescent="0.25">
      <c r="B24" s="10"/>
      <c r="C24" s="10"/>
      <c r="D24" s="8"/>
      <c r="E24" s="8"/>
      <c r="F24" s="10"/>
      <c r="H24" s="65"/>
      <c r="I24" s="65"/>
      <c r="J24" s="65"/>
      <c r="K24" s="65"/>
      <c r="L24" s="65"/>
    </row>
    <row r="25" spans="1:12" s="49" customFormat="1" ht="15.75" customHeight="1" x14ac:dyDescent="0.25">
      <c r="B25" s="10"/>
      <c r="C25" s="10"/>
      <c r="D25" s="8"/>
      <c r="E25" s="8"/>
      <c r="F25" s="10"/>
      <c r="H25" s="65"/>
      <c r="I25" s="65"/>
      <c r="J25" s="65"/>
      <c r="K25" s="65"/>
      <c r="L25" s="65"/>
    </row>
    <row r="26" spans="1:12" s="49" customFormat="1" ht="15.75" customHeight="1" x14ac:dyDescent="0.25">
      <c r="B26" s="10"/>
      <c r="C26" s="10"/>
      <c r="D26" s="8"/>
      <c r="E26" s="8"/>
      <c r="F26" s="10"/>
      <c r="H26" s="65"/>
      <c r="I26" s="65"/>
      <c r="J26" s="65"/>
      <c r="K26" s="65"/>
      <c r="L26" s="65"/>
    </row>
    <row r="27" spans="1:12" s="49" customFormat="1" ht="15.75" customHeight="1" x14ac:dyDescent="0.25">
      <c r="B27" s="10"/>
      <c r="C27" s="10"/>
      <c r="D27" s="8"/>
      <c r="E27" s="8"/>
      <c r="F27" s="10"/>
      <c r="H27" s="65"/>
      <c r="I27" s="65"/>
      <c r="J27" s="65"/>
      <c r="K27" s="65"/>
      <c r="L27" s="65"/>
    </row>
    <row r="28" spans="1:12" s="49" customFormat="1" ht="15.75" customHeight="1" x14ac:dyDescent="0.25">
      <c r="B28" s="10"/>
      <c r="C28" s="10"/>
      <c r="D28" s="8"/>
      <c r="E28" s="8"/>
      <c r="F28" s="10"/>
      <c r="H28" s="65"/>
      <c r="I28" s="65"/>
      <c r="J28" s="65"/>
      <c r="K28" s="65"/>
      <c r="L28" s="65"/>
    </row>
    <row r="29" spans="1:12" s="49" customFormat="1" ht="15.75" customHeight="1" x14ac:dyDescent="0.25">
      <c r="B29" s="10"/>
      <c r="C29" s="10"/>
      <c r="D29" s="8"/>
      <c r="E29" s="8"/>
      <c r="F29" s="10"/>
      <c r="H29" s="65"/>
      <c r="I29" s="65"/>
      <c r="J29" s="65"/>
      <c r="K29" s="65"/>
      <c r="L29" s="65"/>
    </row>
    <row r="30" spans="1:12" s="49" customFormat="1" ht="15.75" customHeight="1" x14ac:dyDescent="0.25">
      <c r="B30" s="10"/>
      <c r="C30" s="10"/>
      <c r="D30" s="8"/>
      <c r="E30" s="8"/>
      <c r="F30" s="10"/>
    </row>
    <row r="31" spans="1:12" s="49" customFormat="1" ht="15.75" customHeight="1" x14ac:dyDescent="0.25">
      <c r="B31" s="10"/>
      <c r="C31" s="10"/>
      <c r="D31" s="8"/>
      <c r="E31" s="8"/>
      <c r="F31" s="10"/>
    </row>
    <row r="32" spans="1:12" s="49" customFormat="1" ht="15.75" customHeight="1" x14ac:dyDescent="0.25">
      <c r="B32" s="10"/>
      <c r="C32" s="10"/>
      <c r="D32" s="8"/>
      <c r="E32" s="8"/>
      <c r="F32" s="10"/>
    </row>
    <row r="33" spans="2:12" ht="15.75" customHeight="1" x14ac:dyDescent="0.25">
      <c r="E33" s="8"/>
      <c r="F33" s="10"/>
      <c r="G33" s="10"/>
      <c r="H33" s="49"/>
      <c r="I33" s="49"/>
      <c r="J33" s="49"/>
      <c r="K33" s="49"/>
      <c r="L33" s="49"/>
    </row>
    <row r="34" spans="2:12" ht="15.75" customHeight="1" x14ac:dyDescent="0.25">
      <c r="E34" s="8"/>
      <c r="F34" s="10"/>
      <c r="G34" s="10"/>
      <c r="H34" s="49"/>
      <c r="I34" s="49"/>
      <c r="J34" s="49"/>
      <c r="K34" s="49"/>
      <c r="L34" s="49"/>
    </row>
    <row r="35" spans="2:12" s="49" customFormat="1" ht="15.75" customHeight="1" x14ac:dyDescent="0.25">
      <c r="B35" s="10"/>
      <c r="C35" s="10"/>
      <c r="D35" s="8"/>
      <c r="E35" s="8"/>
      <c r="F35" s="10"/>
      <c r="H35" s="60"/>
    </row>
    <row r="36" spans="2:12" s="49" customFormat="1" ht="15.75" customHeight="1" x14ac:dyDescent="0.25">
      <c r="B36" s="10"/>
      <c r="C36" s="10"/>
      <c r="D36" s="8"/>
      <c r="E36" s="8"/>
      <c r="F36" s="10"/>
      <c r="H36" s="60"/>
    </row>
    <row r="37" spans="2:12" s="49" customFormat="1" ht="15.75" customHeight="1" x14ac:dyDescent="0.25">
      <c r="B37" s="10"/>
      <c r="C37" s="10"/>
      <c r="D37" s="8"/>
      <c r="E37" s="8"/>
      <c r="F37" s="10"/>
      <c r="H37" s="60"/>
    </row>
    <row r="38" spans="2:12" s="49" customFormat="1" ht="15.75" customHeight="1" x14ac:dyDescent="0.25">
      <c r="B38" s="10"/>
      <c r="C38" s="10"/>
      <c r="D38" s="8"/>
      <c r="E38" s="8"/>
      <c r="F38" s="10"/>
      <c r="H38" s="60"/>
    </row>
    <row r="39" spans="2:12" s="49" customFormat="1" ht="15.75" customHeight="1" x14ac:dyDescent="0.25">
      <c r="B39" s="10"/>
      <c r="C39" s="10"/>
      <c r="D39" s="8"/>
      <c r="E39" s="8"/>
      <c r="F39" s="10"/>
      <c r="H39" s="60"/>
    </row>
    <row r="40" spans="2:12" s="49" customFormat="1" ht="15.75" customHeight="1" x14ac:dyDescent="0.25">
      <c r="B40" s="10"/>
      <c r="C40" s="10"/>
      <c r="D40" s="8"/>
      <c r="E40" s="8"/>
      <c r="F40" s="10"/>
      <c r="H40" s="60"/>
    </row>
    <row r="41" spans="2:12" s="49" customFormat="1" ht="15.75" customHeight="1" x14ac:dyDescent="0.25">
      <c r="B41" s="10"/>
      <c r="C41" s="10"/>
      <c r="D41" s="8"/>
      <c r="E41" s="8"/>
      <c r="F41" s="10"/>
      <c r="H41" s="60"/>
    </row>
    <row r="42" spans="2:12" s="49" customFormat="1" ht="15.75" customHeight="1" x14ac:dyDescent="0.25">
      <c r="B42" s="10"/>
      <c r="C42" s="10"/>
      <c r="D42" s="8"/>
      <c r="E42" s="10"/>
      <c r="F42" s="10"/>
      <c r="H42" s="60"/>
    </row>
    <row r="43" spans="2:12" s="49" customFormat="1" ht="15.75" customHeight="1" x14ac:dyDescent="0.25">
      <c r="B43" s="10"/>
      <c r="C43" s="10"/>
      <c r="D43" s="8"/>
      <c r="E43" s="10"/>
      <c r="F43" s="10"/>
      <c r="H43" s="60"/>
    </row>
    <row r="44" spans="2:12" s="49" customFormat="1" ht="15.75" customHeight="1" x14ac:dyDescent="0.25">
      <c r="B44" s="10"/>
      <c r="C44" s="10"/>
      <c r="D44" s="8"/>
      <c r="E44" s="10"/>
      <c r="F44" s="10"/>
      <c r="H44" s="60"/>
    </row>
    <row r="45" spans="2:12" s="49" customFormat="1" ht="15.75" customHeight="1" x14ac:dyDescent="0.25">
      <c r="B45" s="10"/>
      <c r="C45" s="10"/>
      <c r="D45" s="8"/>
      <c r="E45" s="10"/>
      <c r="F45" s="10"/>
      <c r="H45" s="60"/>
    </row>
    <row r="46" spans="2:12" s="49" customFormat="1" ht="15.75" customHeight="1" x14ac:dyDescent="0.25">
      <c r="B46" s="10"/>
      <c r="C46" s="10"/>
      <c r="D46" s="8"/>
      <c r="E46" s="10"/>
      <c r="F46" s="10"/>
      <c r="H46" s="60"/>
    </row>
    <row r="47" spans="2:12" s="49" customFormat="1" ht="15.75" customHeight="1" x14ac:dyDescent="0.25">
      <c r="B47" s="10"/>
      <c r="C47" s="10"/>
      <c r="D47" s="8"/>
      <c r="E47" s="10"/>
      <c r="F47" s="10"/>
      <c r="H47" s="60"/>
    </row>
    <row r="48" spans="2:12" s="49" customFormat="1" ht="15.75" customHeight="1" x14ac:dyDescent="0.25">
      <c r="B48" s="10"/>
      <c r="C48" s="10"/>
      <c r="D48" s="8"/>
      <c r="E48" s="10"/>
      <c r="F48" s="10"/>
      <c r="H48" s="60"/>
    </row>
    <row r="49" spans="2:8" s="49" customFormat="1" ht="15.75" customHeight="1" x14ac:dyDescent="0.25">
      <c r="B49" s="10"/>
      <c r="C49" s="10"/>
      <c r="D49" s="8"/>
      <c r="E49" s="10"/>
      <c r="F49" s="10"/>
      <c r="H49" s="60"/>
    </row>
    <row r="50" spans="2:8" s="49" customFormat="1" ht="15.75" customHeight="1" x14ac:dyDescent="0.25">
      <c r="B50" s="10"/>
      <c r="C50" s="10"/>
      <c r="D50" s="8"/>
      <c r="E50" s="10"/>
      <c r="F50" s="10"/>
      <c r="H50" s="60"/>
    </row>
    <row r="51" spans="2:8" s="49" customFormat="1" ht="15.75" customHeight="1" x14ac:dyDescent="0.25">
      <c r="B51" s="10"/>
      <c r="C51" s="10"/>
      <c r="D51" s="8"/>
      <c r="E51" s="10"/>
      <c r="F51" s="10"/>
      <c r="H51" s="60"/>
    </row>
    <row r="52" spans="2:8" s="49" customFormat="1" ht="15.75" customHeight="1" x14ac:dyDescent="0.25">
      <c r="B52" s="10"/>
      <c r="C52" s="10"/>
      <c r="D52" s="8"/>
      <c r="E52" s="10"/>
      <c r="F52" s="10"/>
      <c r="H52" s="60"/>
    </row>
    <row r="53" spans="2:8" s="49" customFormat="1" ht="15.75" customHeight="1" x14ac:dyDescent="0.25">
      <c r="B53" s="10"/>
      <c r="C53" s="10"/>
      <c r="D53" s="8"/>
      <c r="E53" s="10"/>
      <c r="F53" s="10"/>
      <c r="H53" s="60"/>
    </row>
    <row r="54" spans="2:8" s="49" customFormat="1" ht="15.75" customHeight="1" x14ac:dyDescent="0.25">
      <c r="B54" s="10"/>
      <c r="C54" s="10"/>
      <c r="D54" s="8"/>
      <c r="E54" s="10"/>
      <c r="F54" s="10"/>
      <c r="H54" s="60"/>
    </row>
    <row r="55" spans="2:8" s="49" customFormat="1" ht="15.75" customHeight="1" x14ac:dyDescent="0.25">
      <c r="B55" s="10"/>
      <c r="C55" s="10"/>
      <c r="D55" s="8"/>
      <c r="E55" s="10"/>
      <c r="F55" s="10"/>
      <c r="H55" s="60"/>
    </row>
    <row r="56" spans="2:8" s="49" customFormat="1" ht="15.75" customHeight="1" x14ac:dyDescent="0.25">
      <c r="B56" s="10"/>
      <c r="C56" s="10"/>
      <c r="D56" s="8"/>
      <c r="E56" s="10"/>
      <c r="F56" s="10"/>
      <c r="H56" s="60"/>
    </row>
    <row r="57" spans="2:8" s="49" customFormat="1" ht="15.75" customHeight="1" x14ac:dyDescent="0.25">
      <c r="B57" s="10"/>
      <c r="C57" s="10"/>
      <c r="D57" s="8"/>
      <c r="E57" s="10"/>
      <c r="F57" s="10"/>
      <c r="H57" s="60"/>
    </row>
    <row r="58" spans="2:8" s="49" customFormat="1" ht="15.75" customHeight="1" x14ac:dyDescent="0.25">
      <c r="B58" s="10"/>
      <c r="C58" s="10"/>
      <c r="D58" s="8"/>
      <c r="E58" s="10"/>
      <c r="F58" s="10"/>
      <c r="H58" s="60"/>
    </row>
    <row r="59" spans="2:8" s="49" customFormat="1" ht="15.75" customHeight="1" x14ac:dyDescent="0.25">
      <c r="B59" s="10"/>
      <c r="C59" s="10"/>
      <c r="D59" s="8"/>
      <c r="E59" s="10"/>
      <c r="F59" s="10"/>
      <c r="H59" s="60"/>
    </row>
    <row r="60" spans="2:8" s="49" customFormat="1" ht="15.75" customHeight="1" x14ac:dyDescent="0.25">
      <c r="B60" s="10"/>
      <c r="C60" s="10"/>
      <c r="D60" s="8"/>
      <c r="E60" s="10"/>
      <c r="F60" s="10"/>
      <c r="H60" s="60"/>
    </row>
    <row r="61" spans="2:8" s="49" customFormat="1" ht="15.75" customHeight="1" x14ac:dyDescent="0.25">
      <c r="B61" s="10"/>
      <c r="C61" s="10"/>
      <c r="D61" s="8"/>
      <c r="E61" s="10"/>
      <c r="F61" s="8"/>
      <c r="H61" s="60"/>
    </row>
    <row r="62" spans="2:8" s="49" customFormat="1" ht="15.75" customHeight="1" x14ac:dyDescent="0.25">
      <c r="B62" s="10"/>
      <c r="C62" s="10"/>
      <c r="D62" s="8"/>
      <c r="E62" s="10"/>
      <c r="F62" s="8"/>
      <c r="H62" s="60"/>
    </row>
    <row r="63" spans="2:8" s="49" customFormat="1" ht="15.75" customHeight="1" x14ac:dyDescent="0.25">
      <c r="B63" s="10"/>
      <c r="C63" s="10"/>
      <c r="D63" s="8"/>
      <c r="E63" s="10"/>
      <c r="F63" s="8"/>
      <c r="H63" s="60"/>
    </row>
    <row r="64" spans="2:8" s="49" customFormat="1" ht="15.75" customHeight="1" x14ac:dyDescent="0.25">
      <c r="B64" s="10"/>
      <c r="C64" s="10"/>
      <c r="D64" s="8"/>
      <c r="E64" s="10"/>
      <c r="F64" s="8"/>
      <c r="H64" s="60"/>
    </row>
    <row r="65" spans="2:8" s="49" customFormat="1" ht="15.75" customHeight="1" x14ac:dyDescent="0.25">
      <c r="B65" s="10"/>
      <c r="C65" s="10"/>
      <c r="D65" s="8"/>
      <c r="E65" s="10"/>
      <c r="F65" s="8"/>
      <c r="H65" s="60"/>
    </row>
    <row r="66" spans="2:8" s="49" customFormat="1" ht="15.75" customHeight="1" x14ac:dyDescent="0.25">
      <c r="B66" s="10"/>
      <c r="C66" s="10"/>
      <c r="D66" s="8"/>
      <c r="E66" s="10"/>
      <c r="F66" s="8"/>
      <c r="H66" s="60"/>
    </row>
    <row r="67" spans="2:8" s="49" customFormat="1" ht="15.75" customHeight="1" x14ac:dyDescent="0.25">
      <c r="B67" s="10"/>
      <c r="C67" s="10"/>
      <c r="D67" s="8"/>
      <c r="E67" s="10"/>
      <c r="F67" s="8"/>
      <c r="H67" s="60"/>
    </row>
    <row r="68" spans="2:8" s="49" customFormat="1" ht="15.75" customHeight="1" x14ac:dyDescent="0.25">
      <c r="B68" s="10"/>
      <c r="C68" s="10"/>
      <c r="D68" s="8"/>
      <c r="E68" s="10"/>
      <c r="F68" s="8"/>
      <c r="H68" s="60"/>
    </row>
    <row r="69" spans="2:8" s="49" customFormat="1" ht="15.75" customHeight="1" x14ac:dyDescent="0.25">
      <c r="B69" s="10"/>
      <c r="C69" s="10"/>
      <c r="D69" s="8"/>
      <c r="E69" s="10"/>
      <c r="F69" s="8"/>
      <c r="H69" s="60"/>
    </row>
    <row r="70" spans="2:8" s="49" customFormat="1" ht="15.75" customHeight="1" x14ac:dyDescent="0.25">
      <c r="B70" s="10"/>
      <c r="C70" s="10"/>
      <c r="D70" s="8"/>
      <c r="E70" s="10"/>
      <c r="F70" s="8"/>
      <c r="H70" s="60"/>
    </row>
    <row r="71" spans="2:8" ht="15.75" customHeight="1" x14ac:dyDescent="0.25">
      <c r="G71" s="10"/>
    </row>
    <row r="72" spans="2:8" ht="15.75" customHeight="1" x14ac:dyDescent="0.25">
      <c r="G72" s="10"/>
    </row>
    <row r="73" spans="2:8" ht="15.75" customHeight="1" x14ac:dyDescent="0.25">
      <c r="G73" s="10"/>
    </row>
    <row r="74" spans="2:8" ht="15.75" customHeight="1" x14ac:dyDescent="0.25">
      <c r="G74" s="10"/>
    </row>
    <row r="75" spans="2:8" ht="15.75" customHeight="1" x14ac:dyDescent="0.25">
      <c r="G75" s="10"/>
    </row>
    <row r="76" spans="2:8" ht="15.75" customHeight="1" x14ac:dyDescent="0.25">
      <c r="G76" s="10"/>
    </row>
    <row r="77" spans="2:8" ht="15.75" customHeight="1" x14ac:dyDescent="0.25">
      <c r="G77" s="10"/>
    </row>
    <row r="78" spans="2:8" ht="15.75" customHeight="1" x14ac:dyDescent="0.25">
      <c r="G78" s="10"/>
    </row>
    <row r="79" spans="2:8" ht="15.75" customHeight="1" x14ac:dyDescent="0.25">
      <c r="G79" s="10"/>
    </row>
    <row r="80" spans="2:8" ht="15.75" customHeight="1" x14ac:dyDescent="0.25">
      <c r="G80" s="10"/>
    </row>
    <row r="81" spans="7:7" ht="15.75" customHeight="1" x14ac:dyDescent="0.25">
      <c r="G81" s="10"/>
    </row>
    <row r="82" spans="7:7" ht="15.75" customHeight="1" x14ac:dyDescent="0.25">
      <c r="G82" s="10"/>
    </row>
    <row r="83" spans="7:7" ht="15.75" customHeight="1" x14ac:dyDescent="0.25">
      <c r="G83" s="10"/>
    </row>
    <row r="84" spans="7:7" ht="15.75" customHeight="1" x14ac:dyDescent="0.25">
      <c r="G84" s="10"/>
    </row>
    <row r="85" spans="7:7" ht="15.75" customHeight="1" x14ac:dyDescent="0.25">
      <c r="G85" s="10"/>
    </row>
    <row r="86" spans="7:7" ht="15.75" customHeight="1" x14ac:dyDescent="0.25">
      <c r="G86" s="10"/>
    </row>
    <row r="87" spans="7:7" ht="15.75" customHeight="1" x14ac:dyDescent="0.25">
      <c r="G87" s="10"/>
    </row>
    <row r="88" spans="7:7" ht="15.75" customHeight="1" x14ac:dyDescent="0.25">
      <c r="G88" s="10"/>
    </row>
    <row r="89" spans="7:7" ht="15.75" customHeight="1" x14ac:dyDescent="0.25">
      <c r="G89" s="10"/>
    </row>
    <row r="90" spans="7:7" ht="15.75" customHeight="1" x14ac:dyDescent="0.25">
      <c r="G90" s="10"/>
    </row>
    <row r="91" spans="7:7" ht="15.75" customHeight="1" x14ac:dyDescent="0.25">
      <c r="G91" s="10"/>
    </row>
    <row r="92" spans="7:7" ht="15.75" customHeight="1" x14ac:dyDescent="0.25">
      <c r="G92" s="10"/>
    </row>
    <row r="93" spans="7:7" ht="15.75" customHeight="1" x14ac:dyDescent="0.25">
      <c r="G93" s="10"/>
    </row>
    <row r="94" spans="7:7" ht="15.75" customHeight="1" x14ac:dyDescent="0.25">
      <c r="G94" s="10"/>
    </row>
    <row r="95" spans="7:7" ht="15.75" customHeight="1" x14ac:dyDescent="0.25">
      <c r="G95" s="10"/>
    </row>
    <row r="96" spans="7:7" ht="15.75" customHeight="1" x14ac:dyDescent="0.25">
      <c r="G96" s="10"/>
    </row>
    <row r="97" spans="7:7" ht="15.75" customHeight="1" x14ac:dyDescent="0.25">
      <c r="G97" s="10"/>
    </row>
    <row r="98" spans="7:7" ht="15.75" customHeight="1" x14ac:dyDescent="0.25">
      <c r="G98" s="10"/>
    </row>
    <row r="99" spans="7:7" ht="15.75" customHeight="1" x14ac:dyDescent="0.25">
      <c r="G99" s="10"/>
    </row>
    <row r="100" spans="7:7" ht="15.75" customHeight="1" x14ac:dyDescent="0.25">
      <c r="G100" s="10"/>
    </row>
    <row r="101" spans="7:7" ht="15.75" customHeight="1" x14ac:dyDescent="0.25">
      <c r="G101" s="10"/>
    </row>
    <row r="102" spans="7:7" ht="15.75" customHeight="1" x14ac:dyDescent="0.25">
      <c r="G102" s="10"/>
    </row>
    <row r="103" spans="7:7" ht="15.75" customHeight="1" x14ac:dyDescent="0.25">
      <c r="G103" s="10"/>
    </row>
    <row r="104" spans="7:7" ht="15.75" customHeight="1" x14ac:dyDescent="0.25">
      <c r="G104" s="10"/>
    </row>
    <row r="105" spans="7:7" ht="15.75" customHeight="1" x14ac:dyDescent="0.25">
      <c r="G105" s="10"/>
    </row>
    <row r="106" spans="7:7" ht="15.75" customHeight="1" x14ac:dyDescent="0.25">
      <c r="G106" s="10"/>
    </row>
    <row r="107" spans="7:7" ht="15.75" customHeight="1" x14ac:dyDescent="0.25">
      <c r="G107" s="10"/>
    </row>
    <row r="108" spans="7:7" ht="15.75" customHeight="1" x14ac:dyDescent="0.25">
      <c r="G108" s="10"/>
    </row>
    <row r="109" spans="7:7" ht="15.75" customHeight="1" x14ac:dyDescent="0.25">
      <c r="G109" s="10"/>
    </row>
    <row r="110" spans="7:7" ht="15.75" customHeight="1" x14ac:dyDescent="0.25">
      <c r="G110" s="10"/>
    </row>
    <row r="111" spans="7:7" ht="15.75" customHeight="1" x14ac:dyDescent="0.25">
      <c r="G111" s="10"/>
    </row>
    <row r="112" spans="7:7" ht="15.75" customHeight="1" x14ac:dyDescent="0.25">
      <c r="G112" s="10"/>
    </row>
    <row r="113" spans="1:7" ht="15.75" customHeight="1" x14ac:dyDescent="0.25">
      <c r="G113" s="10"/>
    </row>
    <row r="114" spans="1:7" ht="15.75" customHeight="1" x14ac:dyDescent="0.25">
      <c r="G114" s="10"/>
    </row>
    <row r="115" spans="1:7" ht="15.75" customHeight="1" x14ac:dyDescent="0.25">
      <c r="G115" s="10"/>
    </row>
    <row r="116" spans="1:7" ht="15.75" customHeight="1" x14ac:dyDescent="0.25">
      <c r="G116" s="10"/>
    </row>
    <row r="117" spans="1:7" ht="15.75" customHeight="1" x14ac:dyDescent="0.25">
      <c r="G117" s="10"/>
    </row>
    <row r="118" spans="1:7" ht="15.75" customHeight="1" x14ac:dyDescent="0.25">
      <c r="G118" s="10"/>
    </row>
    <row r="119" spans="1:7" ht="15.75" customHeight="1" x14ac:dyDescent="0.25">
      <c r="G119" s="10"/>
    </row>
    <row r="120" spans="1:7" ht="15.75" customHeight="1" x14ac:dyDescent="0.25">
      <c r="G120" s="10"/>
    </row>
    <row r="121" spans="1:7" ht="15.75" customHeight="1" x14ac:dyDescent="0.25">
      <c r="G121" s="10"/>
    </row>
    <row r="122" spans="1:7" ht="15.75" customHeight="1" x14ac:dyDescent="0.25">
      <c r="G122" s="10"/>
    </row>
    <row r="123" spans="1:7" ht="15.75" customHeight="1" x14ac:dyDescent="0.25">
      <c r="G123" s="10"/>
    </row>
    <row r="124" spans="1:7" ht="15.75" customHeight="1" x14ac:dyDescent="0.25">
      <c r="G124" s="10"/>
    </row>
    <row r="125" spans="1:7" ht="15.75" customHeight="1" x14ac:dyDescent="0.25">
      <c r="G125" s="10"/>
    </row>
    <row r="126" spans="1:7" ht="15.75" customHeight="1" x14ac:dyDescent="0.25">
      <c r="G126" s="10"/>
    </row>
    <row r="127" spans="1:7" customFormat="1" ht="15.75" customHeight="1" x14ac:dyDescent="0.25">
      <c r="A127" s="10"/>
      <c r="B127" s="10"/>
      <c r="C127" s="10"/>
      <c r="D127" s="8"/>
      <c r="E127" s="10"/>
      <c r="F127" s="8"/>
    </row>
    <row r="128" spans="1:7" ht="15.75" customHeight="1" x14ac:dyDescent="0.25">
      <c r="G128" s="10"/>
    </row>
    <row r="129" spans="7:7" ht="15.75" customHeight="1" x14ac:dyDescent="0.25">
      <c r="G129" s="10"/>
    </row>
    <row r="130" spans="7:7" ht="15" customHeight="1" x14ac:dyDescent="0.25">
      <c r="G130" s="10"/>
    </row>
    <row r="131" spans="7:7" ht="15.75" customHeight="1" x14ac:dyDescent="0.25">
      <c r="G131" s="10"/>
    </row>
    <row r="132" spans="7:7" ht="15.75" customHeight="1" x14ac:dyDescent="0.25">
      <c r="G132" s="10"/>
    </row>
    <row r="133" spans="7:7" ht="15.75" customHeight="1" x14ac:dyDescent="0.25">
      <c r="G133" s="10"/>
    </row>
    <row r="134" spans="7:7" ht="15.75" customHeight="1" x14ac:dyDescent="0.25">
      <c r="G134" s="10"/>
    </row>
    <row r="135" spans="7:7" ht="15.75" customHeight="1" x14ac:dyDescent="0.25">
      <c r="G135" s="10"/>
    </row>
    <row r="136" spans="7:7" ht="15.75" customHeight="1" x14ac:dyDescent="0.25">
      <c r="G136" s="10"/>
    </row>
    <row r="137" spans="7:7" ht="15.75" customHeight="1" x14ac:dyDescent="0.25">
      <c r="G137" s="10"/>
    </row>
    <row r="138" spans="7:7" ht="15.75" customHeight="1" x14ac:dyDescent="0.25">
      <c r="G138" s="10"/>
    </row>
    <row r="139" spans="7:7" ht="15.75" customHeight="1" x14ac:dyDescent="0.25">
      <c r="G139" s="10"/>
    </row>
    <row r="140" spans="7:7" ht="15.75" customHeight="1" x14ac:dyDescent="0.25">
      <c r="G140" s="10"/>
    </row>
    <row r="141" spans="7:7" ht="15.75" customHeight="1" x14ac:dyDescent="0.25">
      <c r="G141" s="10"/>
    </row>
    <row r="142" spans="7:7" x14ac:dyDescent="0.25">
      <c r="G142" s="10"/>
    </row>
    <row r="143" spans="7:7" x14ac:dyDescent="0.25">
      <c r="G143" s="10"/>
    </row>
    <row r="144" spans="7:7" ht="15" customHeight="1" x14ac:dyDescent="0.25"/>
    <row r="145" spans="7:7" ht="15" customHeight="1" x14ac:dyDescent="0.25">
      <c r="G145" s="10"/>
    </row>
    <row r="146" spans="7:7" x14ac:dyDescent="0.25">
      <c r="G146" s="10"/>
    </row>
    <row r="147" spans="7:7" x14ac:dyDescent="0.25">
      <c r="G147" s="10"/>
    </row>
    <row r="148" spans="7:7" x14ac:dyDescent="0.25">
      <c r="G148" s="10"/>
    </row>
    <row r="149" spans="7:7" x14ac:dyDescent="0.25">
      <c r="G149" s="10"/>
    </row>
    <row r="150" spans="7:7" x14ac:dyDescent="0.25">
      <c r="G150" s="10"/>
    </row>
    <row r="151" spans="7:7" x14ac:dyDescent="0.25">
      <c r="G151" s="10"/>
    </row>
    <row r="152" spans="7:7" x14ac:dyDescent="0.25">
      <c r="G152" s="10"/>
    </row>
    <row r="153" spans="7:7" x14ac:dyDescent="0.25">
      <c r="G153" s="10"/>
    </row>
    <row r="154" spans="7:7" x14ac:dyDescent="0.25">
      <c r="G154" s="10"/>
    </row>
    <row r="155" spans="7:7" x14ac:dyDescent="0.25">
      <c r="G155" s="10"/>
    </row>
    <row r="156" spans="7:7" x14ac:dyDescent="0.25">
      <c r="G156" s="10"/>
    </row>
    <row r="160" spans="7:7" ht="15" customHeight="1" x14ac:dyDescent="0.25"/>
    <row r="161" ht="15" customHeight="1" x14ac:dyDescent="0.25"/>
    <row r="162" ht="15" customHeight="1" x14ac:dyDescent="0.25"/>
  </sheetData>
  <mergeCells count="18">
    <mergeCell ref="A1:B3"/>
    <mergeCell ref="H8:I8"/>
    <mergeCell ref="H9:I9"/>
    <mergeCell ref="B8:D9"/>
    <mergeCell ref="B10:D11"/>
    <mergeCell ref="B6:I7"/>
    <mergeCell ref="E11:F11"/>
    <mergeCell ref="C1:G2"/>
    <mergeCell ref="E8:F8"/>
    <mergeCell ref="E10:F10"/>
    <mergeCell ref="E9:F9"/>
    <mergeCell ref="H12:L13"/>
    <mergeCell ref="E15:F15"/>
    <mergeCell ref="B12:G13"/>
    <mergeCell ref="B14:D15"/>
    <mergeCell ref="B16:D17"/>
    <mergeCell ref="E14:F14"/>
    <mergeCell ref="E16:F16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295275</xdr:colOff>
                    <xdr:row>13</xdr:row>
                    <xdr:rowOff>171450</xdr:rowOff>
                  </from>
                  <to>
                    <xdr:col>7</xdr:col>
                    <xdr:colOff>628650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16</xdr:row>
                    <xdr:rowOff>180975</xdr:rowOff>
                  </from>
                  <to>
                    <xdr:col>7</xdr:col>
                    <xdr:colOff>609600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16</xdr:row>
                    <xdr:rowOff>180975</xdr:rowOff>
                  </from>
                  <to>
                    <xdr:col>8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9</xdr:col>
                    <xdr:colOff>285750</xdr:colOff>
                    <xdr:row>16</xdr:row>
                    <xdr:rowOff>180975</xdr:rowOff>
                  </from>
                  <to>
                    <xdr:col>9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9</xdr:col>
                    <xdr:colOff>285750</xdr:colOff>
                    <xdr:row>13</xdr:row>
                    <xdr:rowOff>171450</xdr:rowOff>
                  </from>
                  <to>
                    <xdr:col>9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10</xdr:col>
                    <xdr:colOff>285750</xdr:colOff>
                    <xdr:row>16</xdr:row>
                    <xdr:rowOff>180975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10</xdr:col>
                    <xdr:colOff>285750</xdr:colOff>
                    <xdr:row>13</xdr:row>
                    <xdr:rowOff>171450</xdr:rowOff>
                  </from>
                  <to>
                    <xdr:col>10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11</xdr:col>
                    <xdr:colOff>285750</xdr:colOff>
                    <xdr:row>16</xdr:row>
                    <xdr:rowOff>180975</xdr:rowOff>
                  </from>
                  <to>
                    <xdr:col>11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11</xdr:col>
                    <xdr:colOff>285750</xdr:colOff>
                    <xdr:row>13</xdr:row>
                    <xdr:rowOff>171450</xdr:rowOff>
                  </from>
                  <to>
                    <xdr:col>11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:G5"/>
  <sheetViews>
    <sheetView workbookViewId="0">
      <selection activeCell="E10" sqref="E10"/>
    </sheetView>
  </sheetViews>
  <sheetFormatPr baseColWidth="10" defaultRowHeight="15" x14ac:dyDescent="0.25"/>
  <cols>
    <col min="1" max="1" width="10.7109375" style="44" bestFit="1" customWidth="1"/>
    <col min="2" max="2" width="18.42578125" customWidth="1"/>
    <col min="3" max="3" width="21.28515625" bestFit="1" customWidth="1"/>
    <col min="4" max="4" width="20.140625" customWidth="1"/>
    <col min="5" max="5" width="14.28515625" customWidth="1"/>
    <col min="6" max="6" width="20.7109375" customWidth="1"/>
  </cols>
  <sheetData>
    <row r="1" spans="1:7" ht="15" customHeight="1" x14ac:dyDescent="0.25">
      <c r="A1" s="105" t="s">
        <v>12</v>
      </c>
      <c r="B1" s="105"/>
      <c r="C1" s="105"/>
      <c r="D1" s="105"/>
      <c r="E1" s="105"/>
      <c r="F1" s="105"/>
      <c r="G1" s="21"/>
    </row>
    <row r="2" spans="1:7" x14ac:dyDescent="0.25">
      <c r="A2" s="105"/>
      <c r="B2" s="105"/>
      <c r="C2" s="105"/>
      <c r="D2" s="105"/>
      <c r="E2" s="105"/>
      <c r="F2" s="105"/>
      <c r="G2" s="21"/>
    </row>
    <row r="3" spans="1:7" x14ac:dyDescent="0.25">
      <c r="A3" s="105"/>
      <c r="B3" s="105"/>
      <c r="C3" s="105"/>
      <c r="D3" s="105"/>
      <c r="E3" s="105"/>
      <c r="F3" s="105"/>
      <c r="G3" s="21"/>
    </row>
    <row r="4" spans="1:7" ht="15.75" customHeight="1" x14ac:dyDescent="0.25">
      <c r="A4" s="44" t="s">
        <v>31</v>
      </c>
      <c r="B4" t="s">
        <v>1</v>
      </c>
      <c r="C4" t="s">
        <v>15</v>
      </c>
      <c r="D4" t="s">
        <v>24</v>
      </c>
      <c r="E4" t="s">
        <v>30</v>
      </c>
      <c r="F4" t="s">
        <v>25</v>
      </c>
    </row>
    <row r="5" spans="1:7" ht="15.75" customHeight="1" x14ac:dyDescent="0.25">
      <c r="A5" s="45">
        <f ca="1">TODAY()</f>
        <v>44803</v>
      </c>
      <c r="B5" s="46"/>
      <c r="C5" s="46"/>
      <c r="D5" s="47"/>
      <c r="E5" s="47"/>
      <c r="F5" s="48"/>
    </row>
  </sheetData>
  <mergeCells count="1">
    <mergeCell ref="A1:F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N65"/>
  <sheetViews>
    <sheetView zoomScale="90" zoomScaleNormal="90" workbookViewId="0">
      <pane xSplit="1" ySplit="5" topLeftCell="C47" activePane="bottomRight" state="frozen"/>
      <selection pane="topRight" activeCell="B1" sqref="B1"/>
      <selection pane="bottomLeft" activeCell="A6" sqref="A6"/>
      <selection pane="bottomRight" activeCell="A55" sqref="A55"/>
    </sheetView>
  </sheetViews>
  <sheetFormatPr baseColWidth="10" defaultRowHeight="15" x14ac:dyDescent="0.25"/>
  <cols>
    <col min="1" max="1" width="21.28515625" bestFit="1" customWidth="1"/>
    <col min="2" max="2" width="35.140625" customWidth="1"/>
    <col min="3" max="3" width="13.85546875" style="28" bestFit="1" customWidth="1"/>
    <col min="4" max="4" width="12.5703125" style="28" bestFit="1" customWidth="1"/>
    <col min="5" max="5" width="12" customWidth="1"/>
    <col min="6" max="6" width="12" bestFit="1" customWidth="1"/>
    <col min="7" max="9" width="12" customWidth="1"/>
  </cols>
  <sheetData>
    <row r="1" spans="1:14" ht="15" customHeight="1" x14ac:dyDescent="0.25">
      <c r="A1" s="108" t="s">
        <v>16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5" customHeight="1" x14ac:dyDescent="0.25">
      <c r="A2" s="108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x14ac:dyDescent="0.25">
      <c r="A3" s="110" t="s">
        <v>17</v>
      </c>
      <c r="B3" s="110" t="s">
        <v>18</v>
      </c>
      <c r="C3" s="114" t="s">
        <v>20</v>
      </c>
      <c r="D3" s="114" t="s">
        <v>19</v>
      </c>
      <c r="E3" s="111" t="s">
        <v>80</v>
      </c>
      <c r="F3" s="112"/>
      <c r="G3" s="112"/>
      <c r="H3" s="112"/>
      <c r="I3" s="113"/>
      <c r="J3" s="106" t="s">
        <v>81</v>
      </c>
      <c r="K3" s="107"/>
      <c r="L3" s="107"/>
      <c r="M3" s="107"/>
      <c r="N3" s="107"/>
    </row>
    <row r="4" spans="1:14" x14ac:dyDescent="0.25">
      <c r="A4" s="110"/>
      <c r="B4" s="110"/>
      <c r="C4" s="114"/>
      <c r="D4" s="114"/>
      <c r="E4" s="22">
        <v>6</v>
      </c>
      <c r="F4" s="22">
        <v>8</v>
      </c>
      <c r="G4" s="22">
        <v>10</v>
      </c>
      <c r="H4" s="22">
        <v>12</v>
      </c>
      <c r="I4" s="42">
        <v>14</v>
      </c>
      <c r="J4" s="42" t="s">
        <v>84</v>
      </c>
      <c r="K4" s="42" t="s">
        <v>68</v>
      </c>
      <c r="L4" s="42" t="s">
        <v>69</v>
      </c>
      <c r="M4" s="42" t="s">
        <v>70</v>
      </c>
      <c r="N4" s="42" t="s">
        <v>71</v>
      </c>
    </row>
    <row r="5" spans="1:14" x14ac:dyDescent="0.25">
      <c r="A5" s="50" t="s">
        <v>56</v>
      </c>
      <c r="B5" s="51" t="s">
        <v>57</v>
      </c>
      <c r="C5" s="51" t="s">
        <v>58</v>
      </c>
      <c r="D5" s="51" t="s">
        <v>59</v>
      </c>
      <c r="E5" s="50" t="s">
        <v>60</v>
      </c>
      <c r="F5" s="50" t="s">
        <v>61</v>
      </c>
      <c r="G5" s="50" t="s">
        <v>62</v>
      </c>
      <c r="H5" s="50" t="s">
        <v>63</v>
      </c>
      <c r="I5" s="50" t="s">
        <v>64</v>
      </c>
      <c r="J5" s="53" t="s">
        <v>75</v>
      </c>
      <c r="K5" s="54" t="s">
        <v>72</v>
      </c>
      <c r="L5" s="54" t="s">
        <v>73</v>
      </c>
      <c r="M5" s="55" t="s">
        <v>74</v>
      </c>
      <c r="N5" s="57" t="s">
        <v>86</v>
      </c>
    </row>
    <row r="6" spans="1:14" x14ac:dyDescent="0.25">
      <c r="A6" s="23" t="s">
        <v>42</v>
      </c>
      <c r="B6" s="26" t="s">
        <v>23</v>
      </c>
      <c r="C6" s="52">
        <v>85000</v>
      </c>
      <c r="D6" s="52">
        <v>140000</v>
      </c>
      <c r="E6" s="58">
        <v>1</v>
      </c>
      <c r="F6" s="58">
        <v>1</v>
      </c>
      <c r="G6" s="58">
        <v>1</v>
      </c>
      <c r="H6" s="58">
        <v>1</v>
      </c>
      <c r="I6" s="59">
        <v>0</v>
      </c>
      <c r="J6" s="58" t="s">
        <v>76</v>
      </c>
      <c r="K6" s="58" t="s">
        <v>76</v>
      </c>
      <c r="L6" s="58" t="s">
        <v>76</v>
      </c>
      <c r="M6" s="58" t="s">
        <v>76</v>
      </c>
      <c r="N6" s="58" t="s">
        <v>76</v>
      </c>
    </row>
    <row r="7" spans="1:14" x14ac:dyDescent="0.25">
      <c r="A7" s="24" t="s">
        <v>36</v>
      </c>
      <c r="B7" s="26" t="s">
        <v>23</v>
      </c>
      <c r="C7" s="52">
        <v>85000</v>
      </c>
      <c r="D7" s="52">
        <v>140000</v>
      </c>
      <c r="E7" s="59">
        <v>1</v>
      </c>
      <c r="F7" s="59">
        <v>1</v>
      </c>
      <c r="G7" s="59">
        <v>1</v>
      </c>
      <c r="H7" s="59">
        <v>0</v>
      </c>
      <c r="I7" s="59">
        <v>0</v>
      </c>
      <c r="J7" s="58" t="s">
        <v>76</v>
      </c>
      <c r="K7" s="58" t="s">
        <v>76</v>
      </c>
      <c r="L7" s="58" t="s">
        <v>76</v>
      </c>
      <c r="M7" s="58" t="s">
        <v>76</v>
      </c>
      <c r="N7" s="58" t="s">
        <v>76</v>
      </c>
    </row>
    <row r="8" spans="1:14" x14ac:dyDescent="0.25">
      <c r="A8" s="24" t="s">
        <v>34</v>
      </c>
      <c r="B8" s="26" t="s">
        <v>23</v>
      </c>
      <c r="C8" s="52">
        <v>85000</v>
      </c>
      <c r="D8" s="52">
        <v>140000</v>
      </c>
      <c r="E8" s="59">
        <v>0</v>
      </c>
      <c r="F8" s="59">
        <v>1</v>
      </c>
      <c r="G8" s="59">
        <v>1</v>
      </c>
      <c r="H8" s="59">
        <v>0</v>
      </c>
      <c r="I8" s="59">
        <v>0</v>
      </c>
      <c r="J8" s="58" t="s">
        <v>76</v>
      </c>
      <c r="K8" s="58" t="s">
        <v>76</v>
      </c>
      <c r="L8" s="58" t="s">
        <v>76</v>
      </c>
      <c r="M8" s="58" t="s">
        <v>76</v>
      </c>
      <c r="N8" s="58" t="s">
        <v>76</v>
      </c>
    </row>
    <row r="9" spans="1:14" x14ac:dyDescent="0.25">
      <c r="A9" s="25" t="s">
        <v>35</v>
      </c>
      <c r="B9" s="26" t="s">
        <v>23</v>
      </c>
      <c r="C9" s="52">
        <v>85000</v>
      </c>
      <c r="D9" s="52">
        <v>140000</v>
      </c>
      <c r="E9" s="56">
        <v>1</v>
      </c>
      <c r="F9" s="56">
        <v>0</v>
      </c>
      <c r="G9" s="56">
        <v>0</v>
      </c>
      <c r="H9" s="56">
        <v>1</v>
      </c>
      <c r="I9" s="59">
        <v>0</v>
      </c>
      <c r="J9" s="58" t="s">
        <v>76</v>
      </c>
      <c r="K9" s="58" t="s">
        <v>76</v>
      </c>
      <c r="L9" s="58" t="s">
        <v>76</v>
      </c>
      <c r="M9" s="58" t="s">
        <v>76</v>
      </c>
      <c r="N9" s="58" t="s">
        <v>76</v>
      </c>
    </row>
    <row r="10" spans="1:14" x14ac:dyDescent="0.25">
      <c r="A10" s="25" t="s">
        <v>49</v>
      </c>
      <c r="B10" s="26" t="s">
        <v>23</v>
      </c>
      <c r="C10" s="52">
        <v>85000</v>
      </c>
      <c r="D10" s="52">
        <v>140000</v>
      </c>
      <c r="E10" s="56">
        <v>0</v>
      </c>
      <c r="F10" s="56">
        <v>2</v>
      </c>
      <c r="G10" s="56">
        <v>0</v>
      </c>
      <c r="H10" s="56">
        <v>0</v>
      </c>
      <c r="I10" s="59">
        <v>0</v>
      </c>
      <c r="J10" s="58" t="s">
        <v>76</v>
      </c>
      <c r="K10" s="58" t="s">
        <v>76</v>
      </c>
      <c r="L10" s="58" t="s">
        <v>76</v>
      </c>
      <c r="M10" s="58" t="s">
        <v>76</v>
      </c>
      <c r="N10" s="58" t="s">
        <v>76</v>
      </c>
    </row>
    <row r="11" spans="1:14" x14ac:dyDescent="0.25">
      <c r="A11" s="24" t="s">
        <v>50</v>
      </c>
      <c r="B11" s="26" t="s">
        <v>23</v>
      </c>
      <c r="C11" s="52">
        <v>85000</v>
      </c>
      <c r="D11" s="52">
        <v>140000</v>
      </c>
      <c r="E11" s="59">
        <v>0</v>
      </c>
      <c r="F11" s="59">
        <v>0</v>
      </c>
      <c r="G11" s="59">
        <v>1</v>
      </c>
      <c r="H11" s="59">
        <v>1</v>
      </c>
      <c r="I11" s="59">
        <v>0</v>
      </c>
      <c r="J11" s="58" t="s">
        <v>76</v>
      </c>
      <c r="K11" s="58" t="s">
        <v>76</v>
      </c>
      <c r="L11" s="58" t="s">
        <v>76</v>
      </c>
      <c r="M11" s="58" t="s">
        <v>76</v>
      </c>
      <c r="N11" s="58" t="s">
        <v>76</v>
      </c>
    </row>
    <row r="12" spans="1:14" x14ac:dyDescent="0.25">
      <c r="A12" s="24" t="s">
        <v>51</v>
      </c>
      <c r="B12" s="26" t="s">
        <v>23</v>
      </c>
      <c r="C12" s="52">
        <v>85000</v>
      </c>
      <c r="D12" s="52">
        <v>140000</v>
      </c>
      <c r="E12" s="59">
        <v>0</v>
      </c>
      <c r="F12" s="59">
        <v>1</v>
      </c>
      <c r="G12" s="59">
        <v>1</v>
      </c>
      <c r="H12" s="56">
        <v>0</v>
      </c>
      <c r="I12" s="59">
        <v>0</v>
      </c>
      <c r="J12" s="58" t="s">
        <v>76</v>
      </c>
      <c r="K12" s="58" t="s">
        <v>76</v>
      </c>
      <c r="L12" s="58" t="s">
        <v>76</v>
      </c>
      <c r="M12" s="58" t="s">
        <v>76</v>
      </c>
      <c r="N12" s="58" t="s">
        <v>76</v>
      </c>
    </row>
    <row r="13" spans="1:14" x14ac:dyDescent="0.25">
      <c r="A13" s="25" t="s">
        <v>52</v>
      </c>
      <c r="B13" s="26" t="s">
        <v>23</v>
      </c>
      <c r="C13" s="52">
        <v>85000</v>
      </c>
      <c r="D13" s="52">
        <v>140000</v>
      </c>
      <c r="E13" s="56">
        <v>1</v>
      </c>
      <c r="F13" s="56">
        <v>0</v>
      </c>
      <c r="G13" s="56">
        <v>0</v>
      </c>
      <c r="H13" s="56">
        <v>1</v>
      </c>
      <c r="I13" s="56">
        <v>1</v>
      </c>
      <c r="J13" s="58" t="s">
        <v>76</v>
      </c>
      <c r="K13" s="58" t="s">
        <v>76</v>
      </c>
      <c r="L13" s="58" t="s">
        <v>76</v>
      </c>
      <c r="M13" s="58" t="s">
        <v>76</v>
      </c>
      <c r="N13" s="58" t="s">
        <v>76</v>
      </c>
    </row>
    <row r="14" spans="1:14" x14ac:dyDescent="0.25">
      <c r="A14" s="25" t="s">
        <v>39</v>
      </c>
      <c r="B14" s="26" t="s">
        <v>23</v>
      </c>
      <c r="C14" s="52">
        <v>85000</v>
      </c>
      <c r="D14" s="52">
        <v>140000</v>
      </c>
      <c r="E14" s="56">
        <v>1</v>
      </c>
      <c r="F14" s="56">
        <v>1</v>
      </c>
      <c r="G14" s="56">
        <v>1</v>
      </c>
      <c r="H14" s="56">
        <v>1</v>
      </c>
      <c r="I14" s="56">
        <v>1</v>
      </c>
      <c r="J14" s="58" t="s">
        <v>76</v>
      </c>
      <c r="K14" s="58" t="s">
        <v>76</v>
      </c>
      <c r="L14" s="58" t="s">
        <v>76</v>
      </c>
      <c r="M14" s="58" t="s">
        <v>76</v>
      </c>
      <c r="N14" s="58" t="s">
        <v>76</v>
      </c>
    </row>
    <row r="15" spans="1:14" x14ac:dyDescent="0.25">
      <c r="A15" s="25" t="s">
        <v>47</v>
      </c>
      <c r="B15" s="26" t="s">
        <v>23</v>
      </c>
      <c r="C15" s="52">
        <v>85000</v>
      </c>
      <c r="D15" s="52">
        <v>140000</v>
      </c>
      <c r="E15" s="56">
        <v>0</v>
      </c>
      <c r="F15" s="56">
        <v>0</v>
      </c>
      <c r="G15" s="56">
        <v>0</v>
      </c>
      <c r="H15" s="56">
        <v>1</v>
      </c>
      <c r="I15" s="56">
        <v>1</v>
      </c>
      <c r="J15" s="58" t="s">
        <v>76</v>
      </c>
      <c r="K15" s="58" t="s">
        <v>76</v>
      </c>
      <c r="L15" s="58" t="s">
        <v>76</v>
      </c>
      <c r="M15" s="58" t="s">
        <v>76</v>
      </c>
      <c r="N15" s="58" t="s">
        <v>76</v>
      </c>
    </row>
    <row r="16" spans="1:14" x14ac:dyDescent="0.25">
      <c r="A16" s="25" t="s">
        <v>46</v>
      </c>
      <c r="B16" s="26" t="s">
        <v>23</v>
      </c>
      <c r="C16" s="52">
        <v>85000</v>
      </c>
      <c r="D16" s="52">
        <v>140000</v>
      </c>
      <c r="E16" s="56">
        <v>0</v>
      </c>
      <c r="F16" s="56">
        <v>1</v>
      </c>
      <c r="G16" s="56">
        <v>1</v>
      </c>
      <c r="H16" s="56">
        <v>0</v>
      </c>
      <c r="I16" s="56">
        <v>0</v>
      </c>
      <c r="J16" s="58" t="s">
        <v>76</v>
      </c>
      <c r="K16" s="58" t="s">
        <v>76</v>
      </c>
      <c r="L16" s="58" t="s">
        <v>76</v>
      </c>
      <c r="M16" s="58" t="s">
        <v>76</v>
      </c>
      <c r="N16" s="58" t="s">
        <v>76</v>
      </c>
    </row>
    <row r="17" spans="1:14" x14ac:dyDescent="0.25">
      <c r="A17" s="24" t="s">
        <v>48</v>
      </c>
      <c r="B17" s="26" t="s">
        <v>23</v>
      </c>
      <c r="C17" s="52">
        <v>85000</v>
      </c>
      <c r="D17" s="52">
        <v>140000</v>
      </c>
      <c r="E17" s="59">
        <v>0</v>
      </c>
      <c r="F17" s="59">
        <v>1</v>
      </c>
      <c r="G17" s="59">
        <v>1</v>
      </c>
      <c r="H17" s="56">
        <v>1</v>
      </c>
      <c r="I17" s="59">
        <v>0</v>
      </c>
      <c r="J17" s="58" t="s">
        <v>76</v>
      </c>
      <c r="K17" s="58" t="s">
        <v>76</v>
      </c>
      <c r="L17" s="58" t="s">
        <v>76</v>
      </c>
      <c r="M17" s="58" t="s">
        <v>76</v>
      </c>
      <c r="N17" s="58" t="s">
        <v>76</v>
      </c>
    </row>
    <row r="18" spans="1:14" x14ac:dyDescent="0.25">
      <c r="A18" s="25" t="s">
        <v>55</v>
      </c>
      <c r="B18" s="26" t="s">
        <v>23</v>
      </c>
      <c r="C18" s="52">
        <v>85000</v>
      </c>
      <c r="D18" s="52">
        <v>140000</v>
      </c>
      <c r="E18" s="56">
        <v>1</v>
      </c>
      <c r="F18" s="56">
        <v>1</v>
      </c>
      <c r="G18" s="56">
        <v>1</v>
      </c>
      <c r="H18" s="56">
        <v>1</v>
      </c>
      <c r="I18" s="56">
        <v>0</v>
      </c>
      <c r="J18" s="58" t="s">
        <v>76</v>
      </c>
      <c r="K18" s="58" t="s">
        <v>76</v>
      </c>
      <c r="L18" s="58" t="s">
        <v>76</v>
      </c>
      <c r="M18" s="58" t="s">
        <v>76</v>
      </c>
      <c r="N18" s="58" t="s">
        <v>76</v>
      </c>
    </row>
    <row r="19" spans="1:14" x14ac:dyDescent="0.25">
      <c r="A19" s="24" t="s">
        <v>43</v>
      </c>
      <c r="B19" s="26" t="s">
        <v>23</v>
      </c>
      <c r="C19" s="52">
        <v>85000</v>
      </c>
      <c r="D19" s="52">
        <v>140000</v>
      </c>
      <c r="E19" s="59">
        <v>1</v>
      </c>
      <c r="F19" s="59">
        <v>1</v>
      </c>
      <c r="G19" s="59">
        <v>1</v>
      </c>
      <c r="H19" s="56">
        <v>1</v>
      </c>
      <c r="I19" s="59">
        <v>0</v>
      </c>
      <c r="J19" s="58" t="s">
        <v>76</v>
      </c>
      <c r="K19" s="58" t="s">
        <v>76</v>
      </c>
      <c r="L19" s="58" t="s">
        <v>76</v>
      </c>
      <c r="M19" s="58" t="s">
        <v>76</v>
      </c>
      <c r="N19" s="58" t="s">
        <v>76</v>
      </c>
    </row>
    <row r="20" spans="1:14" x14ac:dyDescent="0.25">
      <c r="A20" s="25" t="s">
        <v>53</v>
      </c>
      <c r="B20" s="26" t="s">
        <v>23</v>
      </c>
      <c r="C20" s="52">
        <v>85000</v>
      </c>
      <c r="D20" s="52">
        <v>140000</v>
      </c>
      <c r="E20" s="56">
        <v>1</v>
      </c>
      <c r="F20" s="56">
        <v>1</v>
      </c>
      <c r="G20" s="56">
        <v>1</v>
      </c>
      <c r="H20" s="56">
        <v>1</v>
      </c>
      <c r="I20" s="56">
        <v>1</v>
      </c>
      <c r="J20" s="58" t="s">
        <v>76</v>
      </c>
      <c r="K20" s="58" t="s">
        <v>76</v>
      </c>
      <c r="L20" s="58" t="s">
        <v>76</v>
      </c>
      <c r="M20" s="58" t="s">
        <v>76</v>
      </c>
      <c r="N20" s="58" t="s">
        <v>76</v>
      </c>
    </row>
    <row r="21" spans="1:14" x14ac:dyDescent="0.25">
      <c r="A21" s="25" t="s">
        <v>40</v>
      </c>
      <c r="B21" s="26" t="s">
        <v>23</v>
      </c>
      <c r="C21" s="52">
        <v>85000</v>
      </c>
      <c r="D21" s="52">
        <v>140000</v>
      </c>
      <c r="E21" s="56">
        <v>0</v>
      </c>
      <c r="F21" s="56">
        <v>1</v>
      </c>
      <c r="G21" s="56">
        <v>1</v>
      </c>
      <c r="H21" s="56">
        <v>1</v>
      </c>
      <c r="I21" s="56">
        <v>0</v>
      </c>
      <c r="J21" s="58" t="s">
        <v>76</v>
      </c>
      <c r="K21" s="58" t="s">
        <v>76</v>
      </c>
      <c r="L21" s="58" t="s">
        <v>76</v>
      </c>
      <c r="M21" s="58" t="s">
        <v>76</v>
      </c>
      <c r="N21" s="58" t="s">
        <v>76</v>
      </c>
    </row>
    <row r="22" spans="1:14" x14ac:dyDescent="0.25">
      <c r="A22" s="25" t="s">
        <v>54</v>
      </c>
      <c r="B22" s="26" t="s">
        <v>23</v>
      </c>
      <c r="C22" s="52">
        <v>85000</v>
      </c>
      <c r="D22" s="52">
        <v>140000</v>
      </c>
      <c r="E22" s="56">
        <v>1</v>
      </c>
      <c r="F22" s="56">
        <v>1</v>
      </c>
      <c r="G22" s="56">
        <v>1</v>
      </c>
      <c r="H22" s="56">
        <v>0</v>
      </c>
      <c r="I22" s="56">
        <v>0</v>
      </c>
      <c r="J22" s="58" t="s">
        <v>76</v>
      </c>
      <c r="K22" s="58" t="s">
        <v>76</v>
      </c>
      <c r="L22" s="58" t="s">
        <v>76</v>
      </c>
      <c r="M22" s="58" t="s">
        <v>76</v>
      </c>
      <c r="N22" s="58" t="s">
        <v>76</v>
      </c>
    </row>
    <row r="23" spans="1:14" x14ac:dyDescent="0.25">
      <c r="A23" s="25" t="s">
        <v>44</v>
      </c>
      <c r="B23" s="26" t="s">
        <v>23</v>
      </c>
      <c r="C23" s="52">
        <v>85000</v>
      </c>
      <c r="D23" s="52">
        <v>140000</v>
      </c>
      <c r="E23" s="56">
        <v>1</v>
      </c>
      <c r="F23" s="56">
        <v>1</v>
      </c>
      <c r="G23" s="56">
        <v>1</v>
      </c>
      <c r="H23" s="56">
        <v>1</v>
      </c>
      <c r="I23" s="56">
        <v>0</v>
      </c>
      <c r="J23" s="58" t="s">
        <v>76</v>
      </c>
      <c r="K23" s="58" t="s">
        <v>76</v>
      </c>
      <c r="L23" s="58" t="s">
        <v>76</v>
      </c>
      <c r="M23" s="58" t="s">
        <v>76</v>
      </c>
      <c r="N23" s="58" t="s">
        <v>76</v>
      </c>
    </row>
    <row r="24" spans="1:14" x14ac:dyDescent="0.25">
      <c r="A24" s="25" t="s">
        <v>32</v>
      </c>
      <c r="B24" s="26" t="s">
        <v>23</v>
      </c>
      <c r="C24" s="52">
        <v>85000</v>
      </c>
      <c r="D24" s="52">
        <v>140000</v>
      </c>
      <c r="E24" s="56">
        <v>0</v>
      </c>
      <c r="F24" s="56">
        <v>1</v>
      </c>
      <c r="G24" s="56">
        <v>0</v>
      </c>
      <c r="H24" s="56">
        <v>0</v>
      </c>
      <c r="I24" s="56">
        <v>0</v>
      </c>
      <c r="J24" s="58" t="s">
        <v>76</v>
      </c>
      <c r="K24" s="58" t="s">
        <v>76</v>
      </c>
      <c r="L24" s="58" t="s">
        <v>76</v>
      </c>
      <c r="M24" s="58" t="s">
        <v>76</v>
      </c>
      <c r="N24" s="58" t="s">
        <v>76</v>
      </c>
    </row>
    <row r="25" spans="1:14" x14ac:dyDescent="0.25">
      <c r="A25" s="25" t="s">
        <v>33</v>
      </c>
      <c r="B25" s="26" t="s">
        <v>23</v>
      </c>
      <c r="C25" s="52">
        <v>85000</v>
      </c>
      <c r="D25" s="52">
        <v>140000</v>
      </c>
      <c r="E25" s="56">
        <v>1</v>
      </c>
      <c r="F25" s="56">
        <v>0</v>
      </c>
      <c r="G25" s="56">
        <v>1</v>
      </c>
      <c r="H25" s="56">
        <v>1</v>
      </c>
      <c r="I25" s="56">
        <v>0</v>
      </c>
      <c r="J25" s="58" t="s">
        <v>76</v>
      </c>
      <c r="K25" s="58" t="s">
        <v>76</v>
      </c>
      <c r="L25" s="58" t="s">
        <v>76</v>
      </c>
      <c r="M25" s="58" t="s">
        <v>76</v>
      </c>
      <c r="N25" s="58" t="s">
        <v>76</v>
      </c>
    </row>
    <row r="26" spans="1:14" x14ac:dyDescent="0.25">
      <c r="A26" s="25" t="s">
        <v>37</v>
      </c>
      <c r="B26" s="26" t="s">
        <v>23</v>
      </c>
      <c r="C26" s="52">
        <v>85000</v>
      </c>
      <c r="D26" s="52">
        <v>140000</v>
      </c>
      <c r="E26" s="56">
        <v>0</v>
      </c>
      <c r="F26" s="56">
        <v>1</v>
      </c>
      <c r="G26" s="56">
        <v>0</v>
      </c>
      <c r="H26" s="56">
        <v>1</v>
      </c>
      <c r="I26" s="56">
        <v>1</v>
      </c>
      <c r="J26" s="58" t="s">
        <v>76</v>
      </c>
      <c r="K26" s="58" t="s">
        <v>76</v>
      </c>
      <c r="L26" s="58" t="s">
        <v>76</v>
      </c>
      <c r="M26" s="58" t="s">
        <v>76</v>
      </c>
      <c r="N26" s="58" t="s">
        <v>76</v>
      </c>
    </row>
    <row r="27" spans="1:14" x14ac:dyDescent="0.25">
      <c r="A27" s="25" t="s">
        <v>38</v>
      </c>
      <c r="B27" s="26" t="s">
        <v>23</v>
      </c>
      <c r="C27" s="52">
        <v>85000</v>
      </c>
      <c r="D27" s="52">
        <v>140000</v>
      </c>
      <c r="E27" s="56">
        <v>1</v>
      </c>
      <c r="F27" s="56">
        <v>0</v>
      </c>
      <c r="G27" s="56">
        <v>1</v>
      </c>
      <c r="H27" s="56">
        <v>0</v>
      </c>
      <c r="I27" s="56">
        <v>0</v>
      </c>
      <c r="J27" s="58" t="s">
        <v>76</v>
      </c>
      <c r="K27" s="58" t="s">
        <v>76</v>
      </c>
      <c r="L27" s="58" t="s">
        <v>76</v>
      </c>
      <c r="M27" s="58" t="s">
        <v>76</v>
      </c>
      <c r="N27" s="58" t="s">
        <v>76</v>
      </c>
    </row>
    <row r="28" spans="1:14" x14ac:dyDescent="0.25">
      <c r="A28" s="25" t="s">
        <v>21</v>
      </c>
      <c r="B28" s="26" t="s">
        <v>23</v>
      </c>
      <c r="C28" s="52">
        <v>85000</v>
      </c>
      <c r="D28" s="52">
        <v>140000</v>
      </c>
      <c r="E28" s="56">
        <v>0</v>
      </c>
      <c r="F28" s="56">
        <v>1</v>
      </c>
      <c r="G28" s="56">
        <v>1</v>
      </c>
      <c r="H28" s="56">
        <v>1</v>
      </c>
      <c r="I28" s="56">
        <v>0</v>
      </c>
      <c r="J28" s="58" t="s">
        <v>76</v>
      </c>
      <c r="K28" s="58" t="s">
        <v>76</v>
      </c>
      <c r="L28" s="58" t="s">
        <v>76</v>
      </c>
      <c r="M28" s="58" t="s">
        <v>76</v>
      </c>
      <c r="N28" s="58" t="s">
        <v>76</v>
      </c>
    </row>
    <row r="29" spans="1:14" x14ac:dyDescent="0.25">
      <c r="A29" s="25" t="s">
        <v>45</v>
      </c>
      <c r="B29" s="26" t="s">
        <v>23</v>
      </c>
      <c r="C29" s="52">
        <v>85000</v>
      </c>
      <c r="D29" s="52">
        <v>140000</v>
      </c>
      <c r="E29" s="56">
        <v>1</v>
      </c>
      <c r="F29" s="56">
        <v>0</v>
      </c>
      <c r="G29" s="56">
        <v>0</v>
      </c>
      <c r="H29" s="56">
        <v>0</v>
      </c>
      <c r="I29" s="56">
        <v>0</v>
      </c>
      <c r="J29" s="58" t="s">
        <v>76</v>
      </c>
      <c r="K29" s="58" t="s">
        <v>76</v>
      </c>
      <c r="L29" s="58" t="s">
        <v>76</v>
      </c>
      <c r="M29" s="58" t="s">
        <v>76</v>
      </c>
      <c r="N29" s="58" t="s">
        <v>76</v>
      </c>
    </row>
    <row r="30" spans="1:14" x14ac:dyDescent="0.25">
      <c r="A30" s="25" t="s">
        <v>22</v>
      </c>
      <c r="B30" s="26" t="s">
        <v>23</v>
      </c>
      <c r="C30" s="52">
        <v>85000</v>
      </c>
      <c r="D30" s="52">
        <v>140000</v>
      </c>
      <c r="E30" s="56">
        <v>0</v>
      </c>
      <c r="F30" s="56">
        <v>1</v>
      </c>
      <c r="G30" s="56">
        <v>0</v>
      </c>
      <c r="H30" s="56">
        <v>0</v>
      </c>
      <c r="I30" s="56">
        <v>0</v>
      </c>
      <c r="J30" s="58" t="s">
        <v>76</v>
      </c>
      <c r="K30" s="58" t="s">
        <v>76</v>
      </c>
      <c r="L30" s="58" t="s">
        <v>76</v>
      </c>
      <c r="M30" s="58" t="s">
        <v>76</v>
      </c>
      <c r="N30" s="58" t="s">
        <v>76</v>
      </c>
    </row>
    <row r="31" spans="1:14" x14ac:dyDescent="0.25">
      <c r="A31" s="25" t="s">
        <v>41</v>
      </c>
      <c r="B31" s="26" t="s">
        <v>23</v>
      </c>
      <c r="C31" s="52">
        <v>85000</v>
      </c>
      <c r="D31" s="52">
        <v>140000</v>
      </c>
      <c r="E31" s="56">
        <v>1</v>
      </c>
      <c r="F31" s="56">
        <v>0</v>
      </c>
      <c r="G31" s="56">
        <v>1</v>
      </c>
      <c r="H31" s="56">
        <v>1</v>
      </c>
      <c r="I31" s="56">
        <v>1</v>
      </c>
      <c r="J31" s="58" t="s">
        <v>76</v>
      </c>
      <c r="K31" s="58" t="s">
        <v>76</v>
      </c>
      <c r="L31" s="58" t="s">
        <v>76</v>
      </c>
      <c r="M31" s="58" t="s">
        <v>76</v>
      </c>
      <c r="N31" s="58" t="s">
        <v>76</v>
      </c>
    </row>
    <row r="32" spans="1:14" x14ac:dyDescent="0.25">
      <c r="A32" s="25" t="s">
        <v>65</v>
      </c>
      <c r="B32" s="26" t="s">
        <v>23</v>
      </c>
      <c r="C32" s="52">
        <v>85000</v>
      </c>
      <c r="D32" s="52">
        <v>140000</v>
      </c>
      <c r="E32" s="56">
        <v>0</v>
      </c>
      <c r="F32" s="56">
        <v>1</v>
      </c>
      <c r="G32" s="56">
        <v>1</v>
      </c>
      <c r="H32" s="56">
        <v>0</v>
      </c>
      <c r="I32" s="56">
        <v>0</v>
      </c>
      <c r="J32" s="58" t="s">
        <v>76</v>
      </c>
      <c r="K32" s="58" t="s">
        <v>76</v>
      </c>
      <c r="L32" s="58" t="s">
        <v>76</v>
      </c>
      <c r="M32" s="58" t="s">
        <v>76</v>
      </c>
      <c r="N32" s="58" t="s">
        <v>76</v>
      </c>
    </row>
    <row r="33" spans="1:14" x14ac:dyDescent="0.25">
      <c r="A33" s="25" t="s">
        <v>66</v>
      </c>
      <c r="B33" s="26" t="s">
        <v>23</v>
      </c>
      <c r="C33" s="52">
        <v>85000</v>
      </c>
      <c r="D33" s="52">
        <v>140000</v>
      </c>
      <c r="E33" s="56">
        <v>1</v>
      </c>
      <c r="F33" s="56">
        <v>0</v>
      </c>
      <c r="G33" s="56">
        <v>0</v>
      </c>
      <c r="H33" s="56">
        <v>1</v>
      </c>
      <c r="I33" s="56">
        <v>1</v>
      </c>
      <c r="J33" s="58" t="s">
        <v>76</v>
      </c>
      <c r="K33" s="58" t="s">
        <v>76</v>
      </c>
      <c r="L33" s="58" t="s">
        <v>76</v>
      </c>
      <c r="M33" s="58" t="s">
        <v>76</v>
      </c>
      <c r="N33" s="58" t="s">
        <v>76</v>
      </c>
    </row>
    <row r="34" spans="1:14" x14ac:dyDescent="0.25">
      <c r="A34" s="25" t="s">
        <v>67</v>
      </c>
      <c r="B34" s="26" t="s">
        <v>77</v>
      </c>
      <c r="C34" s="27">
        <v>65000</v>
      </c>
      <c r="D34" s="27">
        <v>109000</v>
      </c>
      <c r="E34" s="56" t="s">
        <v>76</v>
      </c>
      <c r="F34" s="56" t="s">
        <v>76</v>
      </c>
      <c r="G34" s="56" t="s">
        <v>76</v>
      </c>
      <c r="H34" s="56" t="s">
        <v>76</v>
      </c>
      <c r="I34" s="56" t="s">
        <v>76</v>
      </c>
      <c r="J34" s="59">
        <v>0</v>
      </c>
      <c r="K34" s="59">
        <v>2</v>
      </c>
      <c r="L34" s="59">
        <v>1</v>
      </c>
      <c r="M34" s="59">
        <v>0</v>
      </c>
      <c r="N34" s="59">
        <v>0</v>
      </c>
    </row>
    <row r="35" spans="1:14" x14ac:dyDescent="0.25">
      <c r="A35" s="25" t="s">
        <v>78</v>
      </c>
      <c r="B35" s="26" t="s">
        <v>88</v>
      </c>
      <c r="C35" s="27">
        <v>65000</v>
      </c>
      <c r="D35" s="27">
        <v>109000</v>
      </c>
      <c r="E35" s="56" t="s">
        <v>76</v>
      </c>
      <c r="F35" s="56" t="s">
        <v>76</v>
      </c>
      <c r="G35" s="56" t="s">
        <v>76</v>
      </c>
      <c r="H35" s="56" t="s">
        <v>76</v>
      </c>
      <c r="I35" s="56" t="s">
        <v>76</v>
      </c>
      <c r="J35" s="59">
        <v>0</v>
      </c>
      <c r="K35" s="59">
        <v>2</v>
      </c>
      <c r="L35" s="59">
        <v>1</v>
      </c>
      <c r="M35" s="59">
        <v>0</v>
      </c>
      <c r="N35" s="56">
        <v>0</v>
      </c>
    </row>
    <row r="36" spans="1:14" x14ac:dyDescent="0.25">
      <c r="A36" s="25" t="s">
        <v>79</v>
      </c>
      <c r="B36" s="26" t="s">
        <v>77</v>
      </c>
      <c r="C36" s="27">
        <v>65000</v>
      </c>
      <c r="D36" s="27">
        <v>109000</v>
      </c>
      <c r="E36" s="56" t="s">
        <v>76</v>
      </c>
      <c r="F36" s="56" t="s">
        <v>76</v>
      </c>
      <c r="G36" s="56" t="s">
        <v>76</v>
      </c>
      <c r="H36" s="56" t="s">
        <v>76</v>
      </c>
      <c r="I36" s="56" t="s">
        <v>76</v>
      </c>
      <c r="J36" s="59">
        <v>0</v>
      </c>
      <c r="K36" s="59">
        <v>2</v>
      </c>
      <c r="L36" s="59">
        <v>1</v>
      </c>
      <c r="M36" s="59">
        <v>0</v>
      </c>
      <c r="N36" s="56">
        <v>0</v>
      </c>
    </row>
    <row r="37" spans="1:14" x14ac:dyDescent="0.25">
      <c r="A37" s="25" t="s">
        <v>82</v>
      </c>
      <c r="B37" s="26" t="s">
        <v>77</v>
      </c>
      <c r="C37" s="27">
        <v>65000</v>
      </c>
      <c r="D37" s="27">
        <v>109000</v>
      </c>
      <c r="E37" s="56" t="s">
        <v>76</v>
      </c>
      <c r="F37" s="56" t="s">
        <v>76</v>
      </c>
      <c r="G37" s="56" t="s">
        <v>76</v>
      </c>
      <c r="H37" s="56" t="s">
        <v>76</v>
      </c>
      <c r="I37" s="56" t="s">
        <v>76</v>
      </c>
      <c r="J37" s="59">
        <v>0</v>
      </c>
      <c r="K37" s="59">
        <v>1</v>
      </c>
      <c r="L37" s="59">
        <v>1</v>
      </c>
      <c r="M37" s="59">
        <v>0</v>
      </c>
      <c r="N37" s="56">
        <v>0</v>
      </c>
    </row>
    <row r="38" spans="1:14" x14ac:dyDescent="0.25">
      <c r="A38" s="25" t="s">
        <v>83</v>
      </c>
      <c r="B38" s="26" t="s">
        <v>77</v>
      </c>
      <c r="C38" s="27">
        <v>50000</v>
      </c>
      <c r="D38" s="27">
        <v>110000</v>
      </c>
      <c r="E38" s="56" t="s">
        <v>76</v>
      </c>
      <c r="F38" s="56" t="s">
        <v>76</v>
      </c>
      <c r="G38" s="56" t="s">
        <v>76</v>
      </c>
      <c r="H38" s="56" t="s">
        <v>76</v>
      </c>
      <c r="I38" s="56" t="s">
        <v>76</v>
      </c>
      <c r="J38" s="59">
        <v>0</v>
      </c>
      <c r="K38" s="59">
        <v>1</v>
      </c>
      <c r="L38" s="59">
        <v>1</v>
      </c>
      <c r="M38" s="59">
        <v>2</v>
      </c>
      <c r="N38" s="56">
        <v>0</v>
      </c>
    </row>
    <row r="39" spans="1:14" x14ac:dyDescent="0.25">
      <c r="A39" s="25" t="s">
        <v>85</v>
      </c>
      <c r="B39" s="26" t="s">
        <v>77</v>
      </c>
      <c r="C39" s="27">
        <v>74000</v>
      </c>
      <c r="D39" s="27">
        <v>114000</v>
      </c>
      <c r="E39" s="56" t="s">
        <v>76</v>
      </c>
      <c r="F39" s="56" t="s">
        <v>76</v>
      </c>
      <c r="G39" s="56" t="s">
        <v>76</v>
      </c>
      <c r="H39" s="56" t="s">
        <v>76</v>
      </c>
      <c r="I39" s="56" t="s">
        <v>76</v>
      </c>
      <c r="J39" s="56">
        <v>2</v>
      </c>
      <c r="K39" s="56">
        <v>0</v>
      </c>
      <c r="L39" s="56">
        <v>0</v>
      </c>
      <c r="M39" s="56">
        <v>0</v>
      </c>
      <c r="N39" s="56">
        <v>0</v>
      </c>
    </row>
    <row r="40" spans="1:14" x14ac:dyDescent="0.25">
      <c r="A40" s="25" t="s">
        <v>89</v>
      </c>
      <c r="B40" s="26" t="s">
        <v>91</v>
      </c>
      <c r="C40" s="27">
        <v>30000</v>
      </c>
      <c r="D40" s="27">
        <v>68000</v>
      </c>
      <c r="E40" s="56" t="s">
        <v>76</v>
      </c>
      <c r="F40" s="56" t="s">
        <v>76</v>
      </c>
      <c r="G40" s="56" t="s">
        <v>76</v>
      </c>
      <c r="H40" s="56" t="s">
        <v>76</v>
      </c>
      <c r="I40" s="56" t="s">
        <v>76</v>
      </c>
      <c r="J40" s="56">
        <v>3</v>
      </c>
      <c r="K40" s="56">
        <v>0</v>
      </c>
      <c r="L40" s="56">
        <v>0</v>
      </c>
      <c r="M40" s="56">
        <v>0</v>
      </c>
      <c r="N40" s="56">
        <v>0</v>
      </c>
    </row>
    <row r="41" spans="1:14" x14ac:dyDescent="0.25">
      <c r="A41" s="25" t="s">
        <v>90</v>
      </c>
      <c r="B41" s="26" t="s">
        <v>87</v>
      </c>
      <c r="C41" s="27">
        <v>20000</v>
      </c>
      <c r="D41" s="27">
        <v>45000</v>
      </c>
      <c r="E41" s="56" t="s">
        <v>76</v>
      </c>
      <c r="F41" s="56" t="s">
        <v>76</v>
      </c>
      <c r="G41" s="56" t="s">
        <v>76</v>
      </c>
      <c r="H41" s="56" t="s">
        <v>76</v>
      </c>
      <c r="I41" s="56" t="s">
        <v>76</v>
      </c>
      <c r="J41" s="56">
        <v>0</v>
      </c>
      <c r="K41" s="56">
        <v>1</v>
      </c>
      <c r="L41" s="56">
        <v>1</v>
      </c>
      <c r="M41" s="56">
        <v>1</v>
      </c>
      <c r="N41" s="56">
        <v>0</v>
      </c>
    </row>
    <row r="42" spans="1:14" x14ac:dyDescent="0.25">
      <c r="A42" s="25" t="s">
        <v>92</v>
      </c>
      <c r="B42" s="26" t="s">
        <v>87</v>
      </c>
      <c r="C42" s="27">
        <v>20000</v>
      </c>
      <c r="D42" s="27">
        <v>45000</v>
      </c>
      <c r="E42" s="56" t="s">
        <v>76</v>
      </c>
      <c r="F42" s="56" t="s">
        <v>76</v>
      </c>
      <c r="G42" s="56" t="s">
        <v>76</v>
      </c>
      <c r="H42" s="56" t="s">
        <v>76</v>
      </c>
      <c r="I42" s="56" t="s">
        <v>76</v>
      </c>
      <c r="J42" s="56">
        <v>0</v>
      </c>
      <c r="K42" s="56">
        <v>1</v>
      </c>
      <c r="L42" s="56">
        <v>1</v>
      </c>
      <c r="M42" s="56">
        <v>1</v>
      </c>
      <c r="N42" s="56">
        <v>0</v>
      </c>
    </row>
    <row r="43" spans="1:14" x14ac:dyDescent="0.25">
      <c r="A43" s="25" t="s">
        <v>93</v>
      </c>
      <c r="B43" s="26" t="s">
        <v>87</v>
      </c>
      <c r="C43" s="27">
        <v>20000</v>
      </c>
      <c r="D43" s="27">
        <v>45000</v>
      </c>
      <c r="E43" s="56" t="s">
        <v>76</v>
      </c>
      <c r="F43" s="56" t="s">
        <v>76</v>
      </c>
      <c r="G43" s="56" t="s">
        <v>76</v>
      </c>
      <c r="H43" s="56" t="s">
        <v>76</v>
      </c>
      <c r="I43" s="56" t="s">
        <v>76</v>
      </c>
      <c r="J43" s="56">
        <v>0</v>
      </c>
      <c r="K43" s="56">
        <v>1</v>
      </c>
      <c r="L43" s="56">
        <v>1</v>
      </c>
      <c r="M43" s="56">
        <v>1</v>
      </c>
      <c r="N43" s="56">
        <v>0</v>
      </c>
    </row>
    <row r="44" spans="1:14" x14ac:dyDescent="0.25">
      <c r="A44" s="25" t="s">
        <v>95</v>
      </c>
      <c r="B44" s="26" t="s">
        <v>94</v>
      </c>
      <c r="C44" s="27">
        <v>80000</v>
      </c>
      <c r="D44" s="27">
        <v>180000</v>
      </c>
      <c r="E44" s="56"/>
      <c r="F44" s="56"/>
      <c r="G44" s="56"/>
      <c r="H44" s="56"/>
      <c r="I44" s="56"/>
      <c r="J44" s="56">
        <v>2</v>
      </c>
      <c r="K44" s="56">
        <v>0</v>
      </c>
      <c r="L44" s="56">
        <v>0</v>
      </c>
      <c r="M44" s="56">
        <v>0</v>
      </c>
      <c r="N44" s="56">
        <v>0</v>
      </c>
    </row>
    <row r="45" spans="1:14" x14ac:dyDescent="0.25">
      <c r="A45" s="25" t="s">
        <v>96</v>
      </c>
      <c r="B45" s="26" t="s">
        <v>97</v>
      </c>
      <c r="C45" s="27">
        <v>48000</v>
      </c>
      <c r="D45" s="27">
        <v>115000</v>
      </c>
      <c r="E45" s="56">
        <v>1</v>
      </c>
      <c r="F45" s="56">
        <v>2</v>
      </c>
      <c r="G45" s="56">
        <v>2</v>
      </c>
      <c r="H45" s="56">
        <v>0</v>
      </c>
      <c r="I45" s="56">
        <v>0</v>
      </c>
      <c r="J45" s="56" t="s">
        <v>76</v>
      </c>
      <c r="K45" s="56" t="s">
        <v>76</v>
      </c>
      <c r="L45" s="56" t="s">
        <v>76</v>
      </c>
      <c r="M45" s="56" t="s">
        <v>76</v>
      </c>
      <c r="N45" s="56" t="s">
        <v>76</v>
      </c>
    </row>
    <row r="46" spans="1:14" x14ac:dyDescent="0.25">
      <c r="A46" s="25" t="s">
        <v>98</v>
      </c>
      <c r="B46" s="26" t="s">
        <v>97</v>
      </c>
      <c r="C46" s="27">
        <v>45000</v>
      </c>
      <c r="D46" s="27">
        <v>110000</v>
      </c>
      <c r="E46" s="56" t="s">
        <v>76</v>
      </c>
      <c r="F46" s="56" t="s">
        <v>76</v>
      </c>
      <c r="G46" s="56" t="s">
        <v>76</v>
      </c>
      <c r="H46" s="56" t="s">
        <v>76</v>
      </c>
      <c r="I46" s="56" t="s">
        <v>76</v>
      </c>
      <c r="J46" s="56">
        <v>0</v>
      </c>
      <c r="K46" s="56">
        <v>1</v>
      </c>
      <c r="L46" s="56">
        <v>2</v>
      </c>
      <c r="M46" s="56">
        <v>2</v>
      </c>
      <c r="N46" s="56">
        <v>0</v>
      </c>
    </row>
    <row r="47" spans="1:14" x14ac:dyDescent="0.25">
      <c r="A47" s="25" t="s">
        <v>99</v>
      </c>
      <c r="B47" s="26" t="s">
        <v>97</v>
      </c>
      <c r="C47" s="27">
        <v>45000</v>
      </c>
      <c r="D47" s="27">
        <v>115000</v>
      </c>
      <c r="E47" s="56" t="s">
        <v>76</v>
      </c>
      <c r="F47" s="56" t="s">
        <v>76</v>
      </c>
      <c r="G47" s="56" t="s">
        <v>76</v>
      </c>
      <c r="H47" s="56" t="s">
        <v>76</v>
      </c>
      <c r="I47" s="56" t="s">
        <v>76</v>
      </c>
      <c r="J47" s="56">
        <v>0</v>
      </c>
      <c r="K47" s="56">
        <v>0</v>
      </c>
      <c r="L47" s="56">
        <v>1</v>
      </c>
      <c r="M47" s="56">
        <v>2</v>
      </c>
      <c r="N47" s="56">
        <v>0</v>
      </c>
    </row>
    <row r="48" spans="1:14" x14ac:dyDescent="0.25">
      <c r="A48" s="25" t="s">
        <v>100</v>
      </c>
      <c r="B48" s="26" t="s">
        <v>97</v>
      </c>
      <c r="C48" s="27">
        <v>45000</v>
      </c>
      <c r="D48" s="27">
        <v>115000</v>
      </c>
      <c r="E48" s="56" t="s">
        <v>76</v>
      </c>
      <c r="F48" s="56" t="s">
        <v>76</v>
      </c>
      <c r="G48" s="56" t="s">
        <v>76</v>
      </c>
      <c r="H48" s="56" t="s">
        <v>76</v>
      </c>
      <c r="I48" s="56" t="s">
        <v>76</v>
      </c>
      <c r="J48" s="56">
        <v>0</v>
      </c>
      <c r="K48" s="56">
        <v>0</v>
      </c>
      <c r="L48" s="56">
        <v>1</v>
      </c>
      <c r="M48" s="56">
        <v>2</v>
      </c>
      <c r="N48" s="56">
        <v>0</v>
      </c>
    </row>
    <row r="49" spans="1:14" x14ac:dyDescent="0.25">
      <c r="A49" s="25" t="s">
        <v>101</v>
      </c>
      <c r="B49" s="26" t="s">
        <v>97</v>
      </c>
      <c r="C49" s="27">
        <v>45000</v>
      </c>
      <c r="D49" s="27">
        <v>115000</v>
      </c>
      <c r="E49" s="56" t="s">
        <v>76</v>
      </c>
      <c r="F49" s="56" t="s">
        <v>76</v>
      </c>
      <c r="G49" s="56" t="s">
        <v>76</v>
      </c>
      <c r="H49" s="56" t="s">
        <v>76</v>
      </c>
      <c r="I49" s="56" t="s">
        <v>76</v>
      </c>
      <c r="J49" s="56">
        <v>0</v>
      </c>
      <c r="K49" s="56">
        <v>0</v>
      </c>
      <c r="L49" s="56">
        <v>1</v>
      </c>
      <c r="M49" s="56">
        <v>2</v>
      </c>
      <c r="N49" s="56">
        <v>0</v>
      </c>
    </row>
    <row r="50" spans="1:14" x14ac:dyDescent="0.25">
      <c r="A50" s="25" t="s">
        <v>102</v>
      </c>
      <c r="B50" s="26" t="s">
        <v>97</v>
      </c>
      <c r="C50" s="27">
        <v>45000</v>
      </c>
      <c r="D50" s="27">
        <v>115000</v>
      </c>
      <c r="E50" s="56" t="s">
        <v>76</v>
      </c>
      <c r="F50" s="56" t="s">
        <v>76</v>
      </c>
      <c r="G50" s="56" t="s">
        <v>76</v>
      </c>
      <c r="H50" s="56" t="s">
        <v>76</v>
      </c>
      <c r="I50" s="56" t="s">
        <v>76</v>
      </c>
      <c r="J50" s="56">
        <v>0</v>
      </c>
      <c r="K50" s="56">
        <v>0</v>
      </c>
      <c r="L50" s="56">
        <v>1</v>
      </c>
      <c r="M50" s="56">
        <v>2</v>
      </c>
      <c r="N50" s="56">
        <v>0</v>
      </c>
    </row>
    <row r="51" spans="1:14" x14ac:dyDescent="0.25">
      <c r="A51" s="25" t="s">
        <v>103</v>
      </c>
      <c r="B51" s="26" t="s">
        <v>104</v>
      </c>
      <c r="C51" s="27"/>
      <c r="D51" s="27"/>
      <c r="E51" s="56" t="s">
        <v>76</v>
      </c>
      <c r="F51" s="56" t="s">
        <v>76</v>
      </c>
      <c r="G51" s="56" t="s">
        <v>76</v>
      </c>
      <c r="H51" s="56" t="s">
        <v>76</v>
      </c>
      <c r="I51" s="56" t="s">
        <v>76</v>
      </c>
      <c r="J51" s="56">
        <v>4</v>
      </c>
      <c r="K51" s="56">
        <v>0</v>
      </c>
      <c r="L51" s="56">
        <v>0</v>
      </c>
      <c r="M51" s="56">
        <v>0</v>
      </c>
      <c r="N51" s="56">
        <v>0</v>
      </c>
    </row>
    <row r="52" spans="1:14" x14ac:dyDescent="0.25">
      <c r="A52" s="25" t="s">
        <v>105</v>
      </c>
      <c r="B52" s="26" t="s">
        <v>106</v>
      </c>
      <c r="C52" s="27"/>
      <c r="D52" s="27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1:14" x14ac:dyDescent="0.25">
      <c r="A53" s="26" t="s">
        <v>107</v>
      </c>
      <c r="B53" s="26"/>
      <c r="C53" s="27"/>
      <c r="D53" s="27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1:14" x14ac:dyDescent="0.25">
      <c r="A54" s="25" t="s">
        <v>108</v>
      </c>
      <c r="B54" s="26"/>
      <c r="C54" s="27"/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1:14" x14ac:dyDescent="0.25">
      <c r="A55" s="25" t="s">
        <v>109</v>
      </c>
      <c r="B55" s="26"/>
      <c r="C55" s="27"/>
      <c r="D55" s="27"/>
      <c r="E55" s="56">
        <v>1</v>
      </c>
      <c r="F55" s="56">
        <v>0</v>
      </c>
      <c r="G55" s="56">
        <v>1</v>
      </c>
      <c r="H55" s="56">
        <v>1</v>
      </c>
      <c r="I55" s="56">
        <v>0</v>
      </c>
      <c r="J55" s="56">
        <v>1</v>
      </c>
      <c r="K55" s="56">
        <v>1</v>
      </c>
      <c r="L55" s="56">
        <v>1</v>
      </c>
      <c r="M55" s="56">
        <v>1</v>
      </c>
      <c r="N55" s="56">
        <v>1</v>
      </c>
    </row>
    <row r="65" spans="4:4" x14ac:dyDescent="0.25">
      <c r="D65" s="28">
        <v>0</v>
      </c>
    </row>
  </sheetData>
  <mergeCells count="7">
    <mergeCell ref="J3:N3"/>
    <mergeCell ref="A1:N2"/>
    <mergeCell ref="B3:B4"/>
    <mergeCell ref="E3:I3"/>
    <mergeCell ref="D3:D4"/>
    <mergeCell ref="C3:C4"/>
    <mergeCell ref="A3:A4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E91F6-A115-4219-8926-C11D84A8ED2C}">
  <sheetPr codeName="Hoja5"/>
  <dimension ref="B2:I19"/>
  <sheetViews>
    <sheetView workbookViewId="0">
      <selection activeCell="E11" sqref="E11"/>
    </sheetView>
  </sheetViews>
  <sheetFormatPr baseColWidth="10" defaultRowHeight="15" x14ac:dyDescent="0.25"/>
  <cols>
    <col min="1" max="16384" width="11.42578125" style="1"/>
  </cols>
  <sheetData>
    <row r="2" spans="2:9" x14ac:dyDescent="0.25">
      <c r="B2" s="2"/>
      <c r="C2" s="2"/>
      <c r="D2" s="2"/>
      <c r="E2" s="2"/>
      <c r="F2" s="2"/>
      <c r="G2" s="2"/>
      <c r="H2" s="2"/>
      <c r="I2" s="2"/>
    </row>
    <row r="3" spans="2:9" x14ac:dyDescent="0.25">
      <c r="B3" s="2"/>
      <c r="C3" s="2"/>
      <c r="D3" s="2"/>
      <c r="E3" s="2"/>
      <c r="F3" s="2"/>
      <c r="G3" s="2"/>
      <c r="H3" s="2"/>
      <c r="I3" s="2"/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x14ac:dyDescent="0.25">
      <c r="B7" s="2"/>
      <c r="C7" s="2"/>
      <c r="D7" s="2"/>
      <c r="E7" s="2"/>
      <c r="F7" s="2"/>
      <c r="G7" s="2"/>
      <c r="H7" s="2"/>
      <c r="I7" s="2"/>
    </row>
    <row r="8" spans="2:9" x14ac:dyDescent="0.25">
      <c r="B8" s="2"/>
      <c r="C8" s="2"/>
      <c r="D8" s="2"/>
      <c r="E8" s="2"/>
      <c r="F8" s="2"/>
      <c r="G8" s="2"/>
      <c r="H8" s="2"/>
      <c r="I8" s="2"/>
    </row>
    <row r="9" spans="2:9" x14ac:dyDescent="0.25">
      <c r="B9" s="2"/>
      <c r="C9" s="2"/>
      <c r="D9" s="2"/>
      <c r="E9" s="2"/>
      <c r="F9" s="2"/>
      <c r="G9" s="2"/>
      <c r="H9" s="2"/>
      <c r="I9" s="2"/>
    </row>
    <row r="10" spans="2:9" x14ac:dyDescent="0.25">
      <c r="B10" s="2"/>
      <c r="C10" s="2"/>
      <c r="D10" s="2"/>
      <c r="E10" s="2"/>
      <c r="F10" s="2"/>
      <c r="G10" s="2"/>
      <c r="H10" s="2"/>
      <c r="I10" s="2"/>
    </row>
    <row r="11" spans="2:9" x14ac:dyDescent="0.25">
      <c r="B11" s="2"/>
      <c r="C11" s="2"/>
      <c r="D11" s="2"/>
      <c r="E11" s="2"/>
      <c r="F11" s="2"/>
      <c r="G11" s="2"/>
      <c r="H11" s="2"/>
      <c r="I11" s="2"/>
    </row>
    <row r="12" spans="2:9" x14ac:dyDescent="0.25">
      <c r="B12" s="2"/>
      <c r="C12" s="2"/>
      <c r="D12" s="2"/>
      <c r="E12" s="2"/>
      <c r="F12" s="2"/>
      <c r="G12" s="2"/>
      <c r="H12" s="2"/>
      <c r="I12" s="2"/>
    </row>
    <row r="13" spans="2:9" x14ac:dyDescent="0.25">
      <c r="B13" s="2"/>
      <c r="C13" s="2"/>
      <c r="D13" s="2"/>
      <c r="E13" s="2"/>
      <c r="F13" s="2"/>
      <c r="G13" s="2"/>
      <c r="H13" s="2"/>
      <c r="I13" s="2"/>
    </row>
    <row r="14" spans="2:9" x14ac:dyDescent="0.25">
      <c r="B14" s="2"/>
      <c r="C14" s="2"/>
      <c r="D14" s="2"/>
      <c r="E14" s="2"/>
      <c r="F14" s="2"/>
      <c r="G14" s="2"/>
      <c r="H14" s="2"/>
      <c r="I14" s="2"/>
    </row>
    <row r="15" spans="2:9" x14ac:dyDescent="0.25">
      <c r="B15" s="2"/>
      <c r="C15" s="2"/>
      <c r="D15" s="2"/>
      <c r="E15" s="2"/>
      <c r="F15" s="2"/>
      <c r="G15" s="2"/>
      <c r="H15" s="2"/>
      <c r="I15" s="2"/>
    </row>
    <row r="16" spans="2:9" x14ac:dyDescent="0.25">
      <c r="B16" s="2"/>
      <c r="C16" s="2"/>
      <c r="D16" s="2"/>
      <c r="E16" s="2"/>
      <c r="F16" s="2"/>
      <c r="G16" s="2"/>
      <c r="H16" s="2"/>
      <c r="I16" s="2"/>
    </row>
    <row r="17" spans="2:9" x14ac:dyDescent="0.25">
      <c r="B17" s="2"/>
      <c r="C17" s="2"/>
      <c r="D17" s="2"/>
      <c r="E17" s="2"/>
      <c r="F17" s="2"/>
      <c r="G17" s="2"/>
      <c r="H17" s="2"/>
      <c r="I17" s="2"/>
    </row>
    <row r="18" spans="2:9" x14ac:dyDescent="0.25">
      <c r="B18" s="2"/>
      <c r="C18" s="2"/>
      <c r="D18" s="2"/>
      <c r="E18" s="2"/>
      <c r="F18" s="2"/>
      <c r="G18" s="2"/>
      <c r="H18" s="2"/>
      <c r="I18" s="2"/>
    </row>
    <row r="19" spans="2:9" x14ac:dyDescent="0.25">
      <c r="B19" s="2"/>
      <c r="C19" s="2"/>
      <c r="D19" s="2"/>
      <c r="E19" s="2"/>
      <c r="F19" s="2"/>
      <c r="G19" s="2"/>
      <c r="H19" s="2"/>
      <c r="I19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G7"/>
  <sheetViews>
    <sheetView workbookViewId="0">
      <selection activeCell="B4" sqref="B4"/>
    </sheetView>
  </sheetViews>
  <sheetFormatPr baseColWidth="10" defaultRowHeight="15" x14ac:dyDescent="0.25"/>
  <cols>
    <col min="1" max="1" width="19.7109375" style="4" customWidth="1"/>
    <col min="2" max="2" width="24.5703125" style="5" customWidth="1"/>
    <col min="3" max="3" width="25.85546875" style="4" customWidth="1"/>
    <col min="4" max="4" width="30.7109375" style="5" bestFit="1" customWidth="1"/>
    <col min="5" max="5" width="25.7109375" style="6" customWidth="1"/>
  </cols>
  <sheetData>
    <row r="1" spans="1:7" ht="15" customHeight="1" x14ac:dyDescent="0.25">
      <c r="A1" s="115" t="s">
        <v>5</v>
      </c>
      <c r="B1" s="115"/>
      <c r="C1" s="115"/>
      <c r="D1" s="115"/>
      <c r="E1" s="115"/>
      <c r="F1" s="3"/>
      <c r="G1" s="3"/>
    </row>
    <row r="2" spans="1:7" x14ac:dyDescent="0.25">
      <c r="A2" s="115"/>
      <c r="B2" s="115"/>
      <c r="C2" s="115"/>
      <c r="D2" s="115"/>
      <c r="E2" s="115"/>
      <c r="F2" s="3"/>
      <c r="G2" s="3"/>
    </row>
    <row r="3" spans="1:7" x14ac:dyDescent="0.25">
      <c r="A3" s="116"/>
      <c r="B3" s="116"/>
      <c r="C3" s="116"/>
      <c r="D3" s="116"/>
      <c r="E3" s="116"/>
      <c r="F3" s="3"/>
      <c r="G3" s="3"/>
    </row>
    <row r="4" spans="1:7" ht="15.75" x14ac:dyDescent="0.25">
      <c r="A4" s="16" t="s">
        <v>1</v>
      </c>
      <c r="B4" s="17" t="s">
        <v>6</v>
      </c>
      <c r="C4" s="18" t="s">
        <v>2</v>
      </c>
      <c r="D4" s="19" t="s">
        <v>3</v>
      </c>
      <c r="E4" s="20" t="s">
        <v>4</v>
      </c>
    </row>
    <row r="5" spans="1:7" ht="15.75" x14ac:dyDescent="0.25">
      <c r="A5" s="14">
        <v>1001456224</v>
      </c>
      <c r="B5" s="9" t="s">
        <v>8</v>
      </c>
      <c r="C5" s="14">
        <v>3013434674</v>
      </c>
      <c r="D5" s="15" t="s">
        <v>13</v>
      </c>
      <c r="E5" s="7">
        <v>37432</v>
      </c>
    </row>
    <row r="6" spans="1:7" ht="15.75" x14ac:dyDescent="0.25">
      <c r="A6" s="14">
        <v>43827638</v>
      </c>
      <c r="B6" s="9" t="s">
        <v>9</v>
      </c>
      <c r="C6" s="14">
        <v>3013434674</v>
      </c>
      <c r="D6" s="15" t="s">
        <v>11</v>
      </c>
      <c r="E6" s="7">
        <v>34235</v>
      </c>
    </row>
    <row r="7" spans="1:7" ht="15.75" x14ac:dyDescent="0.25">
      <c r="A7" s="14">
        <v>1000549667</v>
      </c>
      <c r="B7" s="9" t="s">
        <v>7</v>
      </c>
      <c r="C7" s="14">
        <v>3127433689</v>
      </c>
      <c r="D7" s="15" t="s">
        <v>10</v>
      </c>
      <c r="E7" s="7">
        <v>36929</v>
      </c>
    </row>
  </sheetData>
  <mergeCells count="1">
    <mergeCell ref="A1:E3"/>
  </mergeCells>
  <hyperlinks>
    <hyperlink ref="D7" r:id="rId1" xr:uid="{E11B4D72-843D-40F4-B5D3-D74EA4C4C0F0}"/>
    <hyperlink ref="D5" r:id="rId2" xr:uid="{A4422326-788E-4F69-9E7D-369FD5F2C55F}"/>
  </hyperlinks>
  <pageMargins left="0.7" right="0.7" top="0.75" bottom="0.75" header="0.3" footer="0.3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37E1-F74E-42A1-BD8F-6FC5C0F2FBBF}">
  <dimension ref="B2:G8"/>
  <sheetViews>
    <sheetView tabSelected="1" workbookViewId="0">
      <selection activeCell="G3" sqref="G3"/>
    </sheetView>
  </sheetViews>
  <sheetFormatPr baseColWidth="10" defaultRowHeight="15" x14ac:dyDescent="0.25"/>
  <cols>
    <col min="2" max="2" width="26.7109375" style="70" bestFit="1" customWidth="1"/>
    <col min="3" max="3" width="12.85546875" style="69" bestFit="1" customWidth="1"/>
    <col min="4" max="4" width="12" style="69" bestFit="1" customWidth="1"/>
    <col min="5" max="5" width="15.5703125" style="71" bestFit="1" customWidth="1"/>
  </cols>
  <sheetData>
    <row r="2" spans="2:7" x14ac:dyDescent="0.25">
      <c r="B2" s="70" t="s">
        <v>110</v>
      </c>
      <c r="C2" s="69" t="s">
        <v>111</v>
      </c>
      <c r="D2" s="69" t="s">
        <v>112</v>
      </c>
      <c r="E2" s="71" t="s">
        <v>113</v>
      </c>
    </row>
    <row r="3" spans="2:7" x14ac:dyDescent="0.25">
      <c r="B3" s="70">
        <v>44789</v>
      </c>
      <c r="C3" s="69">
        <v>0.69097222222222221</v>
      </c>
      <c r="D3" s="69">
        <v>0.79375000000000007</v>
      </c>
      <c r="E3" s="71">
        <f t="shared" ref="E3:E8" si="0">D3-C3</f>
        <v>0.10277777777777786</v>
      </c>
      <c r="F3" s="28"/>
      <c r="G3" s="71">
        <f>SUM(E3:E29)</f>
        <v>0.76111111111111096</v>
      </c>
    </row>
    <row r="4" spans="2:7" x14ac:dyDescent="0.25">
      <c r="B4" s="70">
        <v>44791</v>
      </c>
      <c r="C4" s="69">
        <v>0.54166666666666663</v>
      </c>
      <c r="D4" s="69">
        <v>0.77430555555555547</v>
      </c>
      <c r="E4" s="71">
        <f t="shared" si="0"/>
        <v>0.23263888888888884</v>
      </c>
    </row>
    <row r="5" spans="2:7" x14ac:dyDescent="0.25">
      <c r="B5" s="70">
        <v>44793</v>
      </c>
      <c r="C5" s="69">
        <v>0.4513888888888889</v>
      </c>
      <c r="D5" s="69">
        <v>0.56597222222222221</v>
      </c>
      <c r="E5" s="71">
        <f t="shared" si="0"/>
        <v>0.11458333333333331</v>
      </c>
    </row>
    <row r="6" spans="2:7" x14ac:dyDescent="0.25">
      <c r="B6" s="70">
        <v>44793</v>
      </c>
      <c r="C6" s="69">
        <v>0.61805555555555558</v>
      </c>
      <c r="D6" s="69">
        <v>0.70138888888888884</v>
      </c>
      <c r="E6" s="71">
        <f t="shared" si="0"/>
        <v>8.3333333333333259E-2</v>
      </c>
    </row>
    <row r="7" spans="2:7" x14ac:dyDescent="0.25">
      <c r="B7" s="70">
        <v>44795</v>
      </c>
      <c r="C7" s="69">
        <v>0.65625</v>
      </c>
      <c r="D7" s="69">
        <v>0.75208333333333333</v>
      </c>
      <c r="E7" s="71">
        <f t="shared" si="0"/>
        <v>9.5833333333333326E-2</v>
      </c>
    </row>
    <row r="8" spans="2:7" x14ac:dyDescent="0.25">
      <c r="B8" s="70">
        <v>44800</v>
      </c>
      <c r="C8" s="69">
        <v>0.61805555555555558</v>
      </c>
      <c r="D8" s="69">
        <v>0.75</v>
      </c>
      <c r="E8" s="71">
        <f t="shared" si="0"/>
        <v>0.13194444444444442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96E62-79E6-4454-BB14-2723270A2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Principal</vt:lpstr>
      <vt:lpstr>Ventas</vt:lpstr>
      <vt:lpstr>Mercancia</vt:lpstr>
      <vt:lpstr>Factura</vt:lpstr>
      <vt:lpstr>Clientes</vt:lpstr>
      <vt:lpstr>Hoja1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2022-08-30T18:29:18Z</dcterms:modified>
</cp:coreProperties>
</file>