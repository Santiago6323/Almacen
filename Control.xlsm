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BB6FD129-EE5F-4E80-A8EC-2EE1938089CD}" xr6:coauthVersionLast="47" xr6:coauthVersionMax="47" xr10:uidLastSave="{00000000-0000-0000-0000-000000000000}"/>
  <bookViews>
    <workbookView xWindow="-120" yWindow="-120" windowWidth="20730" windowHeight="11160" xr2:uid="{DD005084-A307-4D97-9190-19BD1DB91A43}"/>
  </bookViews>
  <sheets>
    <sheet name="Principal" sheetId="1" r:id="rId1"/>
    <sheet name="Clientes" sheetId="3" r:id="rId2"/>
    <sheet name="Ventas" sheetId="2" r:id="rId3"/>
    <sheet name="Mercancia " sheetId="4" r:id="rId4"/>
    <sheet name="Factura" sheetId="5" r:id="rId5"/>
  </sheets>
  <definedNames>
    <definedName name="Tabla_inv">Tabla18[#All]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5" i="1" l="1" a="1"/>
  <c r="J15" i="1"/>
  <c r="A17" i="1"/>
  <c r="A11" i="1"/>
  <c r="E11" i="1"/>
  <c r="G11" i="1"/>
  <c r="H9" i="1"/>
  <c r="G15" i="1"/>
  <c r="G17" i="1" s="1"/>
  <c r="E15" i="1"/>
  <c r="G9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<sst xmlns="http://schemas.openxmlformats.org/spreadsheetml/2006/main" count="55" uniqueCount="34">
  <si>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</si>
  <si>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</si>
  <si>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</si>
  <si>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</si>
  <si>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</si>
  <si>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</si>
  <si>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</si>
  <si>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</si>
  <si>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</si>
  <si>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</si>
  <si>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</si>
  <si>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</si>
  <si>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</si>
  <si>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</si>
  <si>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</si>
  <si>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</si>
  <si>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</si>
  <si>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</si>
  <si>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</si>
  <si>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</si>
  <si>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</si>
  <si>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Cantidad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</si>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</sst>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92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9" fillId="0" borderId="0" xfId="0" applyFont="1" applyFill="1" applyAlignment="1"/>
    <xf numFmtId="0" fontId="0" fillId="0" borderId="9" xfId="0" applyBorder="1"/>
    <xf numFmtId="0" fontId="0" fillId="0" borderId="12" xfId="0" applyBorder="1" applyAlignment="1"/>
    <xf numFmtId="0" fontId="0" fillId="0" borderId="12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2" xfId="0" applyNumberFormat="1" applyBorder="1" applyAlignment="1"/>
    <xf numFmtId="164" fontId="0" fillId="0" borderId="1" xfId="0" applyNumberFormat="1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29"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checked="Checked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7" lockText="1" noThreeD="1"/>
</file>

<file path=xl/ctrlProps/ctrlProp4.xml><?xml version="1.0" encoding="utf-8"?>
<formControlPr xmlns="http://schemas.microsoft.com/office/spreadsheetml/2009/9/main" objectType="CheckBox" fmlaLink="$I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180975</xdr:rowOff>
        </xdr:from>
        <xdr:to>
          <xdr:col>7</xdr:col>
          <xdr:colOff>619125</xdr:colOff>
          <xdr:row>15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15</xdr:row>
          <xdr:rowOff>180975</xdr:rowOff>
        </xdr:from>
        <xdr:to>
          <xdr:col>7</xdr:col>
          <xdr:colOff>609600</xdr:colOff>
          <xdr:row>17</xdr:row>
          <xdr:rowOff>19050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15</xdr:row>
          <xdr:rowOff>152400</xdr:rowOff>
        </xdr:from>
        <xdr:to>
          <xdr:col>8</xdr:col>
          <xdr:colOff>619125</xdr:colOff>
          <xdr:row>16</xdr:row>
          <xdr:rowOff>190500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1657349</xdr:colOff>
      <xdr:row>9</xdr:row>
      <xdr:rowOff>9525</xdr:rowOff>
    </xdr:from>
    <xdr:to>
      <xdr:col>8</xdr:col>
      <xdr:colOff>800099</xdr:colOff>
      <xdr:row>11</xdr:row>
      <xdr:rowOff>9525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809CFB86-4B8B-07B2-B3A5-796EFF20FCF8}"/>
            </a:ext>
          </a:extLst>
        </xdr:cNvPr>
        <xdr:cNvSpPr/>
      </xdr:nvSpPr>
      <xdr:spPr>
        <a:xfrm>
          <a:off x="9744074" y="162877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A6400F-72D8-4828-A0BC-F5770660A556}" name="Ventas" displayName="Ventas" ref="A20:E22" totalsRowShown="0" headerRowDxfId="6" dataDxfId="5">
  <autoFilter ref="A20:E22" xr:uid="{2EA6400F-72D8-4828-A0BC-F5770660A556}"/>
  <tableColumns count="5">
    <tableColumn id="1" xr3:uid="{287CD0C5-5057-476A-B6D4-F32E424774AC}" name="CC/NIT" dataDxfId="3"/>
    <tableColumn id="2" xr3:uid="{4B5952DC-EA9A-439A-A017-D7CE1A79B5C4}" name="REFERENCIA" dataDxfId="4"/>
    <tableColumn id="3" xr3:uid="{E7BDF38A-C71F-44BE-BE6D-964992F9D38C}" name="DESCRIPCION" dataDxfId="2"/>
    <tableColumn id="4" xr3:uid="{6078818B-8477-439F-A9FA-1DA18EFCE198}" name="TALLA" dataDxfId="0"/>
    <tableColumn id="5" xr3:uid="{2D0E90F0-8003-4A50-BEBE-CCD55D7A6734}" name="PRECIO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28" dataDxfId="27" tableBorderDxfId="26">
  <autoFilter ref="A4:E7" xr:uid="{2031DEE6-4F1C-4BFE-8D3B-20AB408C4501}"/>
  <tableColumns count="5">
    <tableColumn id="1" xr3:uid="{77458FC3-DFD5-455C-A754-7AA60D17C61D}" name="CC/NIT" dataDxfId="25"/>
    <tableColumn id="2" xr3:uid="{98C798B5-9BC9-4679-8B1C-6D3EF13D137C}" name="NOMBRE COMPLETO" dataDxfId="24"/>
    <tableColumn id="3" xr3:uid="{B0D636E2-60DB-42C6-8A16-36CAAC8352A8}" name="CELULAR" dataDxfId="23"/>
    <tableColumn id="4" xr3:uid="{B232CA0C-2B06-4B55-9FF2-34755CB8C7B3}" name="CORREO ELECTRONICO" dataDxfId="22" dataCellStyle="Hipervínculo"/>
    <tableColumn id="5" xr3:uid="{D19A0E81-37E2-406A-83C1-5863FC399F9B}" name="FECHA DE NACIMIENTO" dataDxfId="2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Tabla18" displayName="Tabla18" ref="A5:H8" headerRowCount="0" totalsRowShown="0" headerRowDxfId="20" tableBorderDxfId="19" totalsRowBorderDxfId="18">
  <tableColumns count="8">
    <tableColumn id="1" xr3:uid="{67D6C6F9-E77D-4C37-A36F-003308CF7711}" name="Columna1" dataDxfId="17"/>
    <tableColumn id="2" xr3:uid="{877C319A-5468-403B-A5BB-F002F089E802}" name="Columna2" headerRowDxfId="16" dataDxfId="15"/>
    <tableColumn id="3" xr3:uid="{3B705014-0CD1-46F0-88E4-BC9D1F638CE5}" name="Columna3" headerRowDxfId="14" dataDxfId="13"/>
    <tableColumn id="4" xr3:uid="{FDEC3CB2-2CC7-47AF-A5C3-D71D9671562A}" name="Columna4" headerRowDxfId="12" dataDxfId="11"/>
    <tableColumn id="5" xr3:uid="{BEE6718A-9A4C-4B39-AD32-4C025E6E5276}" name="Columna5" dataDxfId="10"/>
    <tableColumn id="6" xr3:uid="{ACDE65F7-F5BE-46B7-9AAC-00A3C71B1D13}" name="Columna6" dataDxfId="9"/>
    <tableColumn id="7" xr3:uid="{CBCE114C-3BDF-4E85-9BC5-227BA6D03791}" name="Columna7" dataDxfId="8"/>
    <tableColumn id="8" xr3:uid="{A765EAED-893F-4F9B-9C14-A5EE0F926620}" name="Columna8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iqdsaz92@gmail.com" TargetMode="External"/><Relationship Id="rId1" Type="http://schemas.openxmlformats.org/officeDocument/2006/relationships/hyperlink" Target="mailto:Santiago.Alvarez17@udea.edu.co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J104"/>
  <sheetViews>
    <sheetView tabSelected="1" topLeftCell="A7" zoomScaleNormal="100" workbookViewId="0">
      <selection activeCell="E21" sqref="E21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21.28515625" style="10" bestFit="1" customWidth="1"/>
    <col min="4" max="4" width="21.570312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9" width="12" style="10" customWidth="1"/>
    <col min="10" max="16384" width="11.42578125" style="10"/>
  </cols>
  <sheetData>
    <row r="1" spans="1:10" x14ac:dyDescent="0.25">
      <c r="A1" s="71"/>
      <c r="B1" s="87"/>
      <c r="C1" s="48" t="s">
        <v>0</v>
      </c>
      <c r="D1" s="49"/>
      <c r="E1" s="49"/>
      <c r="F1" s="49"/>
      <c r="G1" s="50"/>
    </row>
    <row r="2" spans="1:10" x14ac:dyDescent="0.25">
      <c r="A2" s="71"/>
      <c r="B2" s="87"/>
      <c r="C2" s="51"/>
      <c r="D2" s="52"/>
      <c r="E2" s="52"/>
      <c r="F2" s="52"/>
      <c r="G2" s="53"/>
    </row>
    <row r="3" spans="1:10" ht="18.75" customHeight="1" x14ac:dyDescent="0.25">
      <c r="A3" s="71"/>
      <c r="B3" s="87"/>
      <c r="C3" s="11" t="s">
        <v>1</v>
      </c>
      <c r="D3" s="90" t="s">
        <v>6</v>
      </c>
      <c r="E3" s="12" t="s">
        <v>2</v>
      </c>
      <c r="F3" s="39" t="s">
        <v>3</v>
      </c>
      <c r="G3" s="38" t="s">
        <v>4</v>
      </c>
      <c r="H3" s="13"/>
    </row>
    <row r="4" spans="1:10" ht="18.75" customHeight="1" x14ac:dyDescent="0.25">
      <c r="C4" s="14"/>
      <c r="D4" s="91"/>
      <c r="E4" s="14"/>
      <c r="F4" s="69"/>
      <c r="G4" s="7"/>
      <c r="H4" s="13"/>
    </row>
    <row r="5" spans="1:10" ht="15" customHeight="1" x14ac:dyDescent="0.25">
      <c r="F5" s="10"/>
      <c r="G5" s="10"/>
    </row>
    <row r="6" spans="1:10" ht="15" customHeight="1" x14ac:dyDescent="0.25">
      <c r="A6" s="84"/>
      <c r="B6" s="54" t="s">
        <v>12</v>
      </c>
      <c r="C6" s="54"/>
      <c r="D6" s="54"/>
      <c r="E6" s="54"/>
      <c r="F6" s="54"/>
      <c r="G6" s="54"/>
      <c r="H6" s="54"/>
      <c r="I6" s="54"/>
    </row>
    <row r="7" spans="1:10" ht="15" customHeight="1" x14ac:dyDescent="0.25">
      <c r="A7" s="84"/>
      <c r="B7" s="54"/>
      <c r="C7" s="54"/>
      <c r="D7" s="54"/>
      <c r="E7" s="54"/>
      <c r="F7" s="54"/>
      <c r="G7" s="54"/>
      <c r="H7" s="54"/>
      <c r="I7" s="54"/>
    </row>
    <row r="8" spans="1:10" ht="15" customHeight="1" x14ac:dyDescent="0.25">
      <c r="A8" s="84"/>
      <c r="B8" s="55" t="s">
        <v>1</v>
      </c>
      <c r="C8" s="88"/>
      <c r="D8" s="56"/>
      <c r="E8" s="73" t="s">
        <v>6</v>
      </c>
      <c r="F8" s="73"/>
      <c r="G8" s="41" t="s">
        <v>2</v>
      </c>
      <c r="H8" s="73" t="s">
        <v>32</v>
      </c>
      <c r="I8" s="73"/>
    </row>
    <row r="9" spans="1:10" ht="15" customHeight="1" x14ac:dyDescent="0.25">
      <c r="A9" s="84"/>
      <c r="B9" s="59"/>
      <c r="C9" s="89"/>
      <c r="D9" s="60"/>
      <c r="E9" s="74" t="str">
        <f>VLOOKUP(B10,Tabla_clientes[],2,FALSE)</f>
        <v>Santiago Alvarez Zuluaga</v>
      </c>
      <c r="F9" s="74"/>
      <c r="G9" s="70">
        <f>VLOOKUP(B10,Tabla_clientes[],3,FALSE)</f>
        <v>3127433689</v>
      </c>
      <c r="H9" s="75">
        <f ca="1">TODAY()</f>
        <v>44791</v>
      </c>
      <c r="I9" s="74"/>
    </row>
    <row r="10" spans="1:10" ht="15" customHeight="1" x14ac:dyDescent="0.25">
      <c r="A10" s="84"/>
      <c r="B10" s="79">
        <v>1000549667</v>
      </c>
      <c r="C10" s="80"/>
      <c r="D10" s="81"/>
      <c r="E10" s="73" t="s">
        <v>3</v>
      </c>
      <c r="F10" s="73"/>
      <c r="G10" s="41" t="s">
        <v>4</v>
      </c>
      <c r="H10" s="14"/>
      <c r="I10" s="14"/>
    </row>
    <row r="11" spans="1:10" ht="15" customHeight="1" x14ac:dyDescent="0.25">
      <c r="A11" s="83">
        <f>B10</f>
        <v>1000549667</v>
      </c>
      <c r="B11" s="57"/>
      <c r="C11" s="82"/>
      <c r="D11" s="58"/>
      <c r="E11" s="47" t="str">
        <f>VLOOKUP(B10,Tabla_clientes[],4,FALSE)</f>
        <v>Santiago.Alvarez17@udea.edu.co</v>
      </c>
      <c r="F11" s="47"/>
      <c r="G11" s="76">
        <f>VLOOKUP(B10,Tabla_clientes[],5,FALSE)</f>
        <v>36929</v>
      </c>
      <c r="H11" s="14"/>
      <c r="I11" s="14"/>
    </row>
    <row r="12" spans="1:10" ht="15" customHeight="1" x14ac:dyDescent="0.25">
      <c r="A12" s="83"/>
      <c r="B12" s="77" t="s">
        <v>14</v>
      </c>
      <c r="C12" s="77"/>
      <c r="D12" s="77"/>
      <c r="E12" s="77"/>
      <c r="F12" s="77"/>
      <c r="G12" s="77"/>
      <c r="H12" s="77" t="s">
        <v>29</v>
      </c>
      <c r="I12" s="77"/>
    </row>
    <row r="13" spans="1:10" ht="15" customHeight="1" x14ac:dyDescent="0.25">
      <c r="A13" s="83"/>
      <c r="B13" s="77"/>
      <c r="C13" s="77"/>
      <c r="D13" s="77"/>
      <c r="E13" s="77"/>
      <c r="F13" s="77"/>
      <c r="G13" s="77"/>
      <c r="H13" s="77"/>
      <c r="I13" s="77"/>
    </row>
    <row r="14" spans="1:10" ht="15" customHeight="1" x14ac:dyDescent="0.25">
      <c r="A14" s="83"/>
      <c r="B14" s="72" t="s">
        <v>15</v>
      </c>
      <c r="C14" s="72"/>
      <c r="D14" s="72"/>
      <c r="E14" s="78" t="s">
        <v>25</v>
      </c>
      <c r="F14" s="78"/>
      <c r="G14" s="40" t="s">
        <v>26</v>
      </c>
      <c r="H14" s="14">
        <v>6</v>
      </c>
      <c r="I14" s="14">
        <v>8</v>
      </c>
    </row>
    <row r="15" spans="1:10" ht="15" customHeight="1" x14ac:dyDescent="0.25">
      <c r="A15" s="83"/>
      <c r="B15" s="72"/>
      <c r="C15" s="72"/>
      <c r="D15" s="72"/>
      <c r="E15" s="74" t="str">
        <f>VLOOKUP(B16,Tabla18[],2,FALSE)</f>
        <v>JEAN DAMA REL MODA</v>
      </c>
      <c r="F15" s="74"/>
      <c r="G15" s="37">
        <f>VLOOKUP(B16,Tabla18[],4,FALSE)</f>
        <v>140000</v>
      </c>
      <c r="H15" s="36" t="b">
        <v>1</v>
      </c>
      <c r="I15" s="36" t="b">
        <v>0</v>
      </c>
      <c r="J15" s="83" t="str" cm="1">
        <f t="array" ref="J15">_xlfn.IFS($H$15=TRUE,"6",$I$15=TRUE,"8",$H$17=TRUE,"10",$I$17=TRUE,"12")</f>
        <v>6</v>
      </c>
    </row>
    <row r="16" spans="1:10" ht="15" customHeight="1" x14ac:dyDescent="0.25">
      <c r="A16" s="83"/>
      <c r="B16" s="43" t="s">
        <v>23</v>
      </c>
      <c r="C16" s="85"/>
      <c r="D16" s="44"/>
      <c r="E16" s="78" t="s">
        <v>27</v>
      </c>
      <c r="F16" s="78"/>
      <c r="G16" s="41" t="s">
        <v>28</v>
      </c>
      <c r="H16" s="14">
        <v>10</v>
      </c>
      <c r="I16" s="14">
        <v>12</v>
      </c>
    </row>
    <row r="17" spans="1:9" ht="15.75" customHeight="1" x14ac:dyDescent="0.25">
      <c r="A17" s="83" t="str">
        <f>B16</f>
        <v>PAMIR</v>
      </c>
      <c r="B17" s="45"/>
      <c r="C17" s="86"/>
      <c r="D17" s="46"/>
      <c r="E17" s="42">
        <v>0</v>
      </c>
      <c r="F17" s="70" t="s">
        <v>30</v>
      </c>
      <c r="G17" s="37">
        <f>G15-G15*E17</f>
        <v>140000</v>
      </c>
      <c r="H17" s="36" t="b">
        <v>0</v>
      </c>
      <c r="I17" s="36" t="b">
        <v>0</v>
      </c>
    </row>
    <row r="18" spans="1:9" ht="15.75" customHeight="1" x14ac:dyDescent="0.25">
      <c r="F18" s="10"/>
      <c r="G18" s="10"/>
    </row>
    <row r="19" spans="1:9" ht="15.75" customHeight="1" x14ac:dyDescent="0.25">
      <c r="F19" s="10"/>
      <c r="G19" s="10"/>
    </row>
    <row r="20" spans="1:9" ht="15.75" customHeight="1" x14ac:dyDescent="0.25">
      <c r="A20" s="10" t="s">
        <v>1</v>
      </c>
      <c r="B20" s="10" t="s">
        <v>15</v>
      </c>
      <c r="C20" s="10" t="s">
        <v>25</v>
      </c>
      <c r="D20" s="8" t="s">
        <v>31</v>
      </c>
      <c r="E20" s="10" t="s">
        <v>26</v>
      </c>
      <c r="F20" s="10"/>
      <c r="G20" s="10"/>
    </row>
    <row r="21" spans="1:9" ht="15.75" customHeight="1" x14ac:dyDescent="0.25">
      <c r="A21" s="10">
        <v>1000549667</v>
      </c>
      <c r="B21" s="10" t="s">
        <v>23</v>
      </c>
      <c r="C21" s="10" t="s">
        <v>24</v>
      </c>
      <c r="D21" s="8" t="s">
        <v>33</v>
      </c>
      <c r="E21" s="10">
        <v>140000</v>
      </c>
      <c r="F21" s="10"/>
      <c r="G21" s="10"/>
    </row>
    <row r="22" spans="1:9" ht="15.75" customHeight="1" x14ac:dyDescent="0.25">
      <c r="A22" s="10">
        <v>1000549667</v>
      </c>
      <c r="B22" s="10" t="s">
        <v>23</v>
      </c>
      <c r="C22" s="10" t="s">
        <v>24</v>
      </c>
      <c r="D22" s="8" t="s">
        <v>33</v>
      </c>
      <c r="E22" s="10">
        <v>140000</v>
      </c>
      <c r="F22" s="10"/>
      <c r="G22" s="10"/>
    </row>
    <row r="23" spans="1:9" ht="15.75" customHeight="1" x14ac:dyDescent="0.25">
      <c r="F23" s="10"/>
      <c r="G23" s="10"/>
    </row>
    <row r="24" spans="1:9" ht="15.75" customHeight="1" x14ac:dyDescent="0.25">
      <c r="F24" s="10"/>
      <c r="G24" s="10"/>
    </row>
    <row r="25" spans="1:9" ht="15.75" customHeight="1" x14ac:dyDescent="0.25">
      <c r="F25" s="10"/>
      <c r="G25" s="10"/>
    </row>
    <row r="26" spans="1:9" ht="15.75" customHeight="1" x14ac:dyDescent="0.25">
      <c r="F26" s="10"/>
      <c r="G26" s="10"/>
    </row>
    <row r="27" spans="1:9" ht="15.75" customHeight="1" x14ac:dyDescent="0.25">
      <c r="F27" s="10"/>
      <c r="G27" s="10"/>
    </row>
    <row r="28" spans="1:9" ht="15.75" customHeight="1" x14ac:dyDescent="0.25">
      <c r="F28" s="10"/>
      <c r="G28" s="10"/>
    </row>
    <row r="29" spans="1:9" ht="15.75" customHeight="1" x14ac:dyDescent="0.25">
      <c r="F29" s="10"/>
      <c r="G29" s="10"/>
    </row>
    <row r="30" spans="1:9" ht="15.75" customHeight="1" x14ac:dyDescent="0.25">
      <c r="F30" s="10"/>
      <c r="G30" s="10"/>
    </row>
    <row r="31" spans="1:9" ht="15.75" customHeight="1" x14ac:dyDescent="0.25">
      <c r="F31" s="10"/>
      <c r="G31" s="10"/>
    </row>
    <row r="32" spans="1:9" ht="15.75" customHeight="1" x14ac:dyDescent="0.25">
      <c r="F32" s="10"/>
      <c r="G32" s="10"/>
    </row>
    <row r="33" spans="6:7" ht="15.75" customHeight="1" x14ac:dyDescent="0.25">
      <c r="F33" s="10"/>
      <c r="G33" s="10"/>
    </row>
    <row r="34" spans="6:7" ht="15.75" customHeight="1" x14ac:dyDescent="0.25">
      <c r="F34" s="10"/>
      <c r="G34" s="10"/>
    </row>
    <row r="35" spans="6:7" ht="15.75" customHeight="1" x14ac:dyDescent="0.25">
      <c r="F35" s="10"/>
      <c r="G35" s="10"/>
    </row>
    <row r="36" spans="6:7" ht="15.75" customHeight="1" x14ac:dyDescent="0.25">
      <c r="F36" s="10"/>
      <c r="G36" s="10"/>
    </row>
    <row r="37" spans="6:7" ht="15.75" customHeight="1" x14ac:dyDescent="0.25">
      <c r="F37" s="10"/>
      <c r="G37" s="10"/>
    </row>
    <row r="38" spans="6:7" ht="15.75" customHeight="1" x14ac:dyDescent="0.25">
      <c r="F38" s="10"/>
      <c r="G38" s="10"/>
    </row>
    <row r="39" spans="6:7" ht="15.75" customHeight="1" x14ac:dyDescent="0.25">
      <c r="F39" s="10"/>
      <c r="G39" s="10"/>
    </row>
    <row r="40" spans="6:7" ht="15.75" customHeight="1" x14ac:dyDescent="0.25">
      <c r="F40" s="10"/>
      <c r="G40" s="10"/>
    </row>
    <row r="41" spans="6:7" ht="15.75" customHeight="1" x14ac:dyDescent="0.25">
      <c r="F41" s="10"/>
      <c r="G41" s="10"/>
    </row>
    <row r="42" spans="6:7" ht="15.75" customHeight="1" x14ac:dyDescent="0.25">
      <c r="F42" s="10"/>
      <c r="G42" s="10"/>
    </row>
    <row r="43" spans="6:7" ht="15.75" customHeight="1" x14ac:dyDescent="0.25">
      <c r="F43" s="10"/>
      <c r="G43" s="10"/>
    </row>
    <row r="44" spans="6:7" ht="15.75" customHeight="1" x14ac:dyDescent="0.25">
      <c r="F44" s="10"/>
      <c r="G44" s="10"/>
    </row>
    <row r="45" spans="6:7" ht="15.75" customHeight="1" x14ac:dyDescent="0.25">
      <c r="F45" s="10"/>
      <c r="G45" s="10"/>
    </row>
    <row r="46" spans="6:7" ht="15.75" customHeight="1" x14ac:dyDescent="0.25">
      <c r="F46" s="10"/>
      <c r="G46" s="10"/>
    </row>
    <row r="47" spans="6:7" ht="15.75" customHeight="1" x14ac:dyDescent="0.25">
      <c r="F47" s="10"/>
      <c r="G47" s="10"/>
    </row>
    <row r="48" spans="6:7" ht="15.75" customHeight="1" x14ac:dyDescent="0.25">
      <c r="F48" s="10"/>
      <c r="G48" s="10"/>
    </row>
    <row r="49" spans="6:7" ht="15.75" customHeight="1" x14ac:dyDescent="0.25">
      <c r="F49" s="10"/>
      <c r="G49" s="10"/>
    </row>
    <row r="50" spans="6:7" ht="15.75" customHeight="1" x14ac:dyDescent="0.25">
      <c r="F50" s="10"/>
      <c r="G50" s="10"/>
    </row>
    <row r="51" spans="6:7" ht="15.75" customHeight="1" x14ac:dyDescent="0.25">
      <c r="F51" s="10"/>
      <c r="G51" s="10"/>
    </row>
    <row r="52" spans="6:7" ht="15.75" customHeight="1" x14ac:dyDescent="0.25">
      <c r="F52" s="10"/>
      <c r="G52" s="10"/>
    </row>
    <row r="53" spans="6:7" ht="15.75" customHeight="1" x14ac:dyDescent="0.25">
      <c r="F53" s="10"/>
      <c r="G53" s="10"/>
    </row>
    <row r="54" spans="6:7" ht="15.75" customHeight="1" x14ac:dyDescent="0.25">
      <c r="F54" s="10"/>
      <c r="G54" s="10"/>
    </row>
    <row r="55" spans="6:7" ht="15.75" customHeight="1" x14ac:dyDescent="0.25">
      <c r="F55" s="10"/>
      <c r="G55" s="10"/>
    </row>
    <row r="56" spans="6:7" ht="15.75" customHeight="1" x14ac:dyDescent="0.25">
      <c r="F56" s="10"/>
      <c r="G56" s="10"/>
    </row>
    <row r="57" spans="6:7" ht="15.75" customHeight="1" x14ac:dyDescent="0.25">
      <c r="F57" s="10"/>
      <c r="G57" s="10"/>
    </row>
    <row r="58" spans="6:7" ht="15.75" customHeight="1" x14ac:dyDescent="0.25">
      <c r="F58" s="10"/>
      <c r="G58" s="10"/>
    </row>
    <row r="59" spans="6:7" ht="15.75" customHeight="1" x14ac:dyDescent="0.25">
      <c r="F59" s="10"/>
      <c r="G59" s="10"/>
    </row>
    <row r="60" spans="6:7" ht="15.75" customHeight="1" x14ac:dyDescent="0.25">
      <c r="F60" s="10"/>
      <c r="G60" s="10"/>
    </row>
    <row r="61" spans="6:7" ht="15.75" customHeight="1" x14ac:dyDescent="0.25">
      <c r="F61" s="10"/>
      <c r="G61" s="10"/>
    </row>
    <row r="62" spans="6:7" ht="15.75" customHeight="1" x14ac:dyDescent="0.25">
      <c r="F62" s="10"/>
      <c r="G62" s="10"/>
    </row>
    <row r="63" spans="6:7" ht="15.75" customHeight="1" x14ac:dyDescent="0.25">
      <c r="F63" s="10"/>
      <c r="G63" s="10"/>
    </row>
    <row r="64" spans="6:7" ht="15.75" customHeight="1" x14ac:dyDescent="0.25">
      <c r="F64" s="10"/>
      <c r="G64" s="10"/>
    </row>
    <row r="65" spans="1:7" ht="15.75" customHeight="1" x14ac:dyDescent="0.25">
      <c r="F65" s="10"/>
      <c r="G65" s="10"/>
    </row>
    <row r="66" spans="1:7" ht="15.75" customHeight="1" x14ac:dyDescent="0.25">
      <c r="F66" s="10"/>
      <c r="G66" s="10"/>
    </row>
    <row r="67" spans="1:7" ht="15.75" customHeight="1" x14ac:dyDescent="0.25">
      <c r="F67" s="10"/>
      <c r="G67" s="10"/>
    </row>
    <row r="68" spans="1:7" ht="15.75" customHeight="1" x14ac:dyDescent="0.25">
      <c r="F68" s="10"/>
      <c r="G68" s="10"/>
    </row>
    <row r="69" spans="1:7" customFormat="1" ht="15.75" customHeight="1" x14ac:dyDescent="0.25">
      <c r="A69" s="10"/>
      <c r="B69" s="10"/>
      <c r="C69" s="10"/>
      <c r="D69" s="8"/>
      <c r="E69" s="10"/>
      <c r="F69" s="10"/>
    </row>
    <row r="70" spans="1:7" ht="15.75" customHeight="1" x14ac:dyDescent="0.25">
      <c r="F70" s="10"/>
      <c r="G70" s="10"/>
    </row>
    <row r="71" spans="1:7" ht="15.75" customHeight="1" x14ac:dyDescent="0.25">
      <c r="G71" s="10"/>
    </row>
    <row r="72" spans="1:7" ht="15" customHeight="1" x14ac:dyDescent="0.25">
      <c r="G72" s="10"/>
    </row>
    <row r="73" spans="1:7" ht="15.75" customHeight="1" x14ac:dyDescent="0.25">
      <c r="G73" s="10"/>
    </row>
    <row r="74" spans="1:7" ht="15.75" customHeight="1" x14ac:dyDescent="0.25">
      <c r="G74" s="10"/>
    </row>
    <row r="75" spans="1:7" ht="15.75" customHeight="1" x14ac:dyDescent="0.25">
      <c r="G75" s="10"/>
    </row>
    <row r="76" spans="1:7" ht="15.75" customHeight="1" x14ac:dyDescent="0.25">
      <c r="G76" s="10"/>
    </row>
    <row r="77" spans="1:7" ht="15.75" customHeight="1" x14ac:dyDescent="0.25">
      <c r="G77" s="10"/>
    </row>
    <row r="78" spans="1:7" ht="15.75" customHeight="1" x14ac:dyDescent="0.25">
      <c r="G78" s="10"/>
    </row>
    <row r="79" spans="1:7" ht="15.75" customHeight="1" x14ac:dyDescent="0.25">
      <c r="G79" s="10"/>
    </row>
    <row r="80" spans="1:7" ht="15.75" customHeight="1" x14ac:dyDescent="0.25">
      <c r="G80" s="10"/>
    </row>
    <row r="81" spans="7:7" ht="15.75" customHeight="1" x14ac:dyDescent="0.25">
      <c r="G81" s="10"/>
    </row>
    <row r="82" spans="7:7" ht="15.75" customHeight="1" x14ac:dyDescent="0.25">
      <c r="G82" s="10"/>
    </row>
    <row r="83" spans="7:7" ht="15.75" customHeight="1" x14ac:dyDescent="0.25">
      <c r="G83" s="10"/>
    </row>
    <row r="84" spans="7:7" x14ac:dyDescent="0.25">
      <c r="G84" s="10"/>
    </row>
    <row r="85" spans="7:7" x14ac:dyDescent="0.25">
      <c r="G85" s="10"/>
    </row>
    <row r="86" spans="7:7" ht="15" customHeight="1" x14ac:dyDescent="0.25"/>
    <row r="87" spans="7:7" ht="15" customHeight="1" x14ac:dyDescent="0.25">
      <c r="G87" s="10"/>
    </row>
    <row r="88" spans="7:7" x14ac:dyDescent="0.25">
      <c r="G88" s="10"/>
    </row>
    <row r="89" spans="7:7" x14ac:dyDescent="0.25">
      <c r="G89" s="10"/>
    </row>
    <row r="90" spans="7:7" x14ac:dyDescent="0.25">
      <c r="G90" s="10"/>
    </row>
    <row r="91" spans="7:7" x14ac:dyDescent="0.25">
      <c r="G91" s="10"/>
    </row>
    <row r="92" spans="7:7" x14ac:dyDescent="0.25">
      <c r="G92" s="10"/>
    </row>
    <row r="93" spans="7:7" x14ac:dyDescent="0.25">
      <c r="G93" s="10"/>
    </row>
    <row r="94" spans="7:7" x14ac:dyDescent="0.25">
      <c r="G94" s="10"/>
    </row>
    <row r="95" spans="7:7" x14ac:dyDescent="0.25">
      <c r="G95" s="10"/>
    </row>
    <row r="96" spans="7:7" x14ac:dyDescent="0.25">
      <c r="G96" s="10"/>
    </row>
    <row r="97" spans="7:7" x14ac:dyDescent="0.25">
      <c r="G97" s="10"/>
    </row>
    <row r="98" spans="7:7" x14ac:dyDescent="0.25">
      <c r="G98" s="10"/>
    </row>
    <row r="102" spans="7:7" ht="15" customHeight="1" x14ac:dyDescent="0.25"/>
    <row r="103" spans="7:7" ht="15" customHeight="1" x14ac:dyDescent="0.25"/>
    <row r="104" spans="7:7" ht="15" customHeight="1" x14ac:dyDescent="0.25"/>
  </sheetData>
  <mergeCells count="18">
    <mergeCell ref="A1:B3"/>
    <mergeCell ref="H8:I8"/>
    <mergeCell ref="H9:I9"/>
    <mergeCell ref="B8:D9"/>
    <mergeCell ref="B10:D11"/>
    <mergeCell ref="B6:I7"/>
    <mergeCell ref="B12:G13"/>
    <mergeCell ref="B14:D15"/>
    <mergeCell ref="B16:D17"/>
    <mergeCell ref="E11:F11"/>
    <mergeCell ref="C1:G2"/>
    <mergeCell ref="E8:F8"/>
    <mergeCell ref="E10:F10"/>
    <mergeCell ref="E9:F9"/>
    <mergeCell ref="H12:I13"/>
    <mergeCell ref="E14:F14"/>
    <mergeCell ref="E15:F15"/>
    <mergeCell ref="E16:F16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285750</xdr:colOff>
                    <xdr:row>13</xdr:row>
                    <xdr:rowOff>180975</xdr:rowOff>
                  </from>
                  <to>
                    <xdr:col>7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15</xdr:row>
                    <xdr:rowOff>180975</xdr:rowOff>
                  </from>
                  <to>
                    <xdr:col>7</xdr:col>
                    <xdr:colOff>609600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15</xdr:row>
                    <xdr:rowOff>152400</xdr:rowOff>
                  </from>
                  <to>
                    <xdr:col>8</xdr:col>
                    <xdr:colOff>619125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workbookViewId="0">
      <selection activeCell="B4" sqref="B4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61" t="s">
        <v>5</v>
      </c>
      <c r="B1" s="61"/>
      <c r="C1" s="61"/>
      <c r="D1" s="61"/>
      <c r="E1" s="61"/>
      <c r="F1" s="3"/>
      <c r="G1" s="3"/>
    </row>
    <row r="2" spans="1:7" x14ac:dyDescent="0.25">
      <c r="A2" s="61"/>
      <c r="B2" s="61"/>
      <c r="C2" s="61"/>
      <c r="D2" s="61"/>
      <c r="E2" s="61"/>
      <c r="F2" s="3"/>
      <c r="G2" s="3"/>
    </row>
    <row r="3" spans="1:7" x14ac:dyDescent="0.25">
      <c r="A3" s="62"/>
      <c r="B3" s="62"/>
      <c r="C3" s="62"/>
      <c r="D3" s="62"/>
      <c r="E3" s="62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7" r:id="rId1" xr:uid="{E11B4D72-843D-40F4-B5D3-D74EA4C4C0F0}"/>
    <hyperlink ref="D5" r:id="rId2" xr:uid="{A4422326-788E-4F69-9E7D-369FD5F2C55F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"/>
  <sheetViews>
    <sheetView workbookViewId="0">
      <selection activeCell="C9" sqref="C9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K8"/>
  <sheetViews>
    <sheetView workbookViewId="0">
      <selection activeCell="C14" sqref="C14"/>
    </sheetView>
  </sheetViews>
  <sheetFormatPr baseColWidth="10" defaultRowHeight="15" x14ac:dyDescent="0.25"/>
  <cols>
    <col min="1" max="1" width="12" customWidth="1"/>
    <col min="2" max="2" width="35.140625" customWidth="1"/>
    <col min="3" max="3" width="13.5703125" style="35" bestFit="1" customWidth="1"/>
    <col min="4" max="4" width="12" style="35" bestFit="1" customWidth="1"/>
    <col min="5" max="5" width="12" customWidth="1"/>
    <col min="6" max="6" width="12" bestFit="1" customWidth="1"/>
    <col min="7" max="8" width="12" customWidth="1"/>
  </cols>
  <sheetData>
    <row r="1" spans="1:11" ht="15" customHeight="1" x14ac:dyDescent="0.5">
      <c r="A1" s="64" t="s">
        <v>16</v>
      </c>
      <c r="B1" s="64"/>
      <c r="C1" s="64"/>
      <c r="D1" s="64"/>
      <c r="E1" s="64"/>
      <c r="F1" s="64"/>
      <c r="G1" s="64"/>
      <c r="H1" s="64"/>
      <c r="I1" s="25"/>
      <c r="J1" s="25"/>
    </row>
    <row r="2" spans="1:11" ht="15" customHeight="1" x14ac:dyDescent="0.5">
      <c r="A2" s="64"/>
      <c r="B2" s="64"/>
      <c r="C2" s="64"/>
      <c r="D2" s="64"/>
      <c r="E2" s="64"/>
      <c r="F2" s="64"/>
      <c r="G2" s="64"/>
      <c r="H2" s="64"/>
      <c r="I2" s="25"/>
      <c r="J2" s="25"/>
    </row>
    <row r="3" spans="1:11" x14ac:dyDescent="0.25">
      <c r="A3" s="63" t="s">
        <v>17</v>
      </c>
      <c r="B3" s="63" t="s">
        <v>18</v>
      </c>
      <c r="C3" s="68" t="s">
        <v>20</v>
      </c>
      <c r="D3" s="68" t="s">
        <v>19</v>
      </c>
      <c r="E3" s="65" t="s">
        <v>21</v>
      </c>
      <c r="F3" s="66"/>
      <c r="G3" s="66"/>
      <c r="H3" s="67"/>
      <c r="K3" s="22"/>
    </row>
    <row r="4" spans="1:11" x14ac:dyDescent="0.25">
      <c r="A4" s="63"/>
      <c r="B4" s="63"/>
      <c r="C4" s="68"/>
      <c r="D4" s="68"/>
      <c r="E4" s="23">
        <v>6</v>
      </c>
      <c r="F4" s="23">
        <v>8</v>
      </c>
      <c r="G4" s="23">
        <v>10</v>
      </c>
      <c r="H4" s="23">
        <v>12</v>
      </c>
      <c r="K4" s="21"/>
    </row>
    <row r="5" spans="1:11" x14ac:dyDescent="0.25">
      <c r="A5" s="26" t="s">
        <v>22</v>
      </c>
      <c r="B5" s="27" t="s">
        <v>24</v>
      </c>
      <c r="C5" s="32">
        <v>85000</v>
      </c>
      <c r="D5" s="32">
        <v>140000</v>
      </c>
      <c r="E5" s="28">
        <v>1</v>
      </c>
      <c r="F5" s="28">
        <v>1</v>
      </c>
      <c r="G5" s="28">
        <v>1</v>
      </c>
      <c r="H5" s="28">
        <v>1</v>
      </c>
    </row>
    <row r="6" spans="1:11" x14ac:dyDescent="0.25">
      <c r="A6" s="29" t="s">
        <v>23</v>
      </c>
      <c r="B6" s="24" t="s">
        <v>24</v>
      </c>
      <c r="C6" s="32">
        <v>85000</v>
      </c>
      <c r="D6" s="32">
        <v>140000</v>
      </c>
      <c r="E6" s="24">
        <v>1</v>
      </c>
      <c r="F6" s="24">
        <v>1</v>
      </c>
      <c r="G6" s="24">
        <v>1</v>
      </c>
      <c r="H6" s="24">
        <v>1</v>
      </c>
    </row>
    <row r="7" spans="1:11" x14ac:dyDescent="0.25">
      <c r="A7" s="29"/>
      <c r="B7" s="24"/>
      <c r="C7" s="33"/>
      <c r="D7" s="33"/>
      <c r="E7" s="24"/>
      <c r="F7" s="24"/>
      <c r="G7" s="24"/>
      <c r="H7" s="24"/>
    </row>
    <row r="8" spans="1:11" x14ac:dyDescent="0.25">
      <c r="A8" s="30"/>
      <c r="B8" s="31"/>
      <c r="C8" s="34"/>
      <c r="D8" s="34"/>
      <c r="E8" s="31"/>
      <c r="F8" s="31"/>
      <c r="G8" s="31"/>
      <c r="H8" s="31"/>
    </row>
  </sheetData>
  <mergeCells count="6">
    <mergeCell ref="B3:B4"/>
    <mergeCell ref="A1:H2"/>
    <mergeCell ref="E3:H3"/>
    <mergeCell ref="D3:D4"/>
    <mergeCell ref="C3:C4"/>
    <mergeCell ref="A3:A4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sqref="A1:XFD1048576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Principal</vt:lpstr>
      <vt:lpstr>Clientes</vt:lpstr>
      <vt:lpstr>Ventas</vt:lpstr>
      <vt:lpstr>Mercancia </vt:lpstr>
      <vt:lpstr>Factura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2022-08-18T23:32:11Z</dcterms:modified>
</cp:coreProperties>
</file>